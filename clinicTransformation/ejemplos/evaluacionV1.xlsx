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4AF0BD1-9821-4852-9511-C6BAB2CE22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  <c r="R36" i="1"/>
  <c r="Q36" i="1"/>
  <c r="R35" i="1"/>
  <c r="Q35" i="1"/>
  <c r="R34" i="1"/>
  <c r="Q34" i="1"/>
  <c r="R33" i="1"/>
  <c r="Q33" i="1"/>
  <c r="U40" i="1"/>
  <c r="U39" i="1"/>
  <c r="U38" i="1"/>
  <c r="B63" i="1"/>
  <c r="C18" i="1" s="1"/>
  <c r="D18" i="1" s="1"/>
  <c r="R32" i="1"/>
  <c r="Q32" i="1"/>
  <c r="D19" i="1" s="1"/>
  <c r="Q37" i="1"/>
  <c r="R37" i="1"/>
  <c r="Q38" i="1"/>
  <c r="R38" i="1"/>
  <c r="Q39" i="1"/>
  <c r="R39" i="1"/>
  <c r="Q40" i="1"/>
  <c r="R40" i="1"/>
  <c r="Q41" i="1"/>
  <c r="R41" i="1"/>
  <c r="Q42" i="1"/>
  <c r="R42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R44" i="1"/>
  <c r="U43" i="1"/>
  <c r="C41" i="1" s="1"/>
  <c r="E19" i="1" l="1"/>
  <c r="V38" i="1"/>
  <c r="C37" i="1" s="1"/>
  <c r="D37" i="1" s="1"/>
  <c r="D21" i="1"/>
  <c r="D23" i="1"/>
  <c r="D20" i="1"/>
  <c r="D22" i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R45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Q44" i="1"/>
  <c r="D44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F19" i="1" l="1"/>
  <c r="E44" i="1"/>
  <c r="F44" i="1"/>
  <c r="G44" i="1"/>
  <c r="H44" i="1"/>
  <c r="J44" i="1"/>
  <c r="I44" i="1"/>
  <c r="K44" i="1"/>
  <c r="L44" i="1"/>
  <c r="G19" i="1"/>
  <c r="H19" i="1"/>
  <c r="K19" i="1"/>
  <c r="L19" i="1"/>
  <c r="J19" i="1"/>
  <c r="I19" i="1"/>
  <c r="E23" i="1"/>
  <c r="F23" i="1"/>
  <c r="G23" i="1"/>
  <c r="H23" i="1"/>
  <c r="I23" i="1"/>
  <c r="J23" i="1"/>
  <c r="K23" i="1"/>
  <c r="L23" i="1"/>
  <c r="K22" i="1"/>
  <c r="E22" i="1"/>
  <c r="F22" i="1"/>
  <c r="G22" i="1"/>
  <c r="H22" i="1"/>
  <c r="I22" i="1"/>
  <c r="L22" i="1"/>
  <c r="J22" i="1"/>
  <c r="E20" i="1"/>
  <c r="F20" i="1"/>
  <c r="G20" i="1"/>
  <c r="H20" i="1"/>
  <c r="I20" i="1"/>
  <c r="J20" i="1"/>
  <c r="K20" i="1"/>
  <c r="L20" i="1"/>
  <c r="I21" i="1"/>
  <c r="F21" i="1"/>
  <c r="G21" i="1"/>
  <c r="H21" i="1"/>
  <c r="J21" i="1"/>
  <c r="K21" i="1"/>
  <c r="L21" i="1"/>
  <c r="E21" i="1"/>
  <c r="E38" i="5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40" i="1"/>
  <c r="AC38" i="5"/>
  <c r="H9" i="7"/>
  <c r="E9" i="7" s="1"/>
  <c r="H21" i="7"/>
  <c r="E40" i="1" l="1"/>
  <c r="F40" i="1"/>
  <c r="G40" i="1"/>
  <c r="H40" i="1"/>
  <c r="J40" i="1"/>
  <c r="K40" i="1"/>
  <c r="I40" i="1"/>
  <c r="L40" i="1"/>
  <c r="A39" i="5"/>
  <c r="Y39" i="5"/>
  <c r="Q45" i="1"/>
  <c r="D45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Q46" i="1"/>
  <c r="G18" i="7"/>
  <c r="G21" i="7"/>
  <c r="E21" i="7" s="1"/>
  <c r="H13" i="7"/>
  <c r="H18" i="7"/>
  <c r="AK39" i="5"/>
  <c r="R46" i="1"/>
  <c r="AG39" i="5"/>
  <c r="E39" i="5"/>
  <c r="I45" i="1" l="1"/>
  <c r="J45" i="1"/>
  <c r="K45" i="1"/>
  <c r="L45" i="1"/>
  <c r="F45" i="1"/>
  <c r="E45" i="1"/>
  <c r="G45" i="1"/>
  <c r="H45" i="1"/>
  <c r="D46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41" i="1"/>
  <c r="D42" i="1"/>
  <c r="E13" i="7"/>
  <c r="H14" i="7"/>
  <c r="E18" i="7"/>
  <c r="A40" i="5"/>
  <c r="E40" i="5"/>
  <c r="G17" i="7"/>
  <c r="I41" i="5"/>
  <c r="Y40" i="5"/>
  <c r="R43" i="1"/>
  <c r="Q43" i="1"/>
  <c r="E41" i="1" l="1"/>
  <c r="F41" i="1"/>
  <c r="G41" i="1"/>
  <c r="H41" i="1"/>
  <c r="J41" i="1"/>
  <c r="I41" i="1"/>
  <c r="K41" i="1"/>
  <c r="L41" i="1"/>
  <c r="L37" i="1"/>
  <c r="K37" i="1"/>
  <c r="J37" i="1"/>
  <c r="I37" i="1"/>
  <c r="H37" i="1"/>
  <c r="G37" i="1"/>
  <c r="F37" i="1"/>
  <c r="E37" i="1"/>
  <c r="F46" i="1"/>
  <c r="E46" i="1"/>
  <c r="G46" i="1"/>
  <c r="H46" i="1"/>
  <c r="K46" i="1"/>
  <c r="I46" i="1"/>
  <c r="J46" i="1"/>
  <c r="L46" i="1"/>
  <c r="I42" i="1"/>
  <c r="J42" i="1"/>
  <c r="K42" i="1"/>
  <c r="L42" i="1"/>
  <c r="G42" i="1"/>
  <c r="F42" i="1"/>
  <c r="E42" i="1"/>
  <c r="H42" i="1"/>
  <c r="D38" i="1"/>
  <c r="D39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43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I39" i="1" l="1"/>
  <c r="J39" i="1"/>
  <c r="K39" i="1"/>
  <c r="L39" i="1"/>
  <c r="E39" i="1"/>
  <c r="F39" i="1"/>
  <c r="G39" i="1"/>
  <c r="H39" i="1"/>
  <c r="F43" i="1"/>
  <c r="E43" i="1"/>
  <c r="G43" i="1"/>
  <c r="H43" i="1"/>
  <c r="K43" i="1"/>
  <c r="I43" i="1"/>
  <c r="J43" i="1"/>
  <c r="L43" i="1"/>
  <c r="E38" i="1"/>
  <c r="F38" i="1"/>
  <c r="G38" i="1"/>
  <c r="H38" i="1"/>
  <c r="I38" i="1"/>
  <c r="J38" i="1"/>
  <c r="K38" i="1"/>
  <c r="L38" i="1"/>
  <c r="H19" i="7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<sst xmlns="http://schemas.openxmlformats.org/spreadsheetml/2006/main" count="318" uniqueCount="198">
  <si>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</si>
  <si>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</si>
  <si>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</si>
  <si>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</si>
  <si>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</si>
  <si>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</si>
  <si>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</si>
  <si>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</si>
  <si>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</si>
  <si>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</si>
  <si>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</si>
  <si>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</si>
  <si>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</si>
  <si>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</si>
  <si>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</si>
  <si>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</si>
  <si>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</si>
  <si>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</si>
  <si>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</si>
  <si>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</si>
  <si>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</si>
  <si>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</si>
  <si>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</si>
  <si>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</si>
  <si>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</si>
  <si>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</si>
  <si>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</si>
  <si>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</si>
  <si>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</si>
  <si>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</si>
  <si>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</si>
  <si>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</si>
  <si>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</si>
  <si>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</si>
  <si>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</si>
  <si>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</si>
  <si>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</si>
  <si>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</si>
  <si>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</si>
  <si>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</si>
  <si>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</si>
  <si>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  <family val="2"/>
      </rPr>
      <t>MMSE</t>
    </r>
    <r>
      <rPr>
        <u/>
        <sz val="12"/>
        <color rgb="FF000000"/>
        <rFont val="Calibri"/>
        <family val="2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</si>
  <si>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</si>
  <si>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</si>
  <si>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</si>
  <si>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</si>
  <si>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</si>
  <si>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</si>
  <si>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</si>
  <si>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</si>
  <si>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</si>
  <si>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</si>
  <si>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</si>
  <si>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</si>
  <si>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</si>
  <si>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</si>
  <si>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</si>
  <si>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</si>
  <si>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</si>
  <si>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</si>
  <si>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</si>
  <si>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</si>
  <si>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</si>
  <si>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</si>
  <si>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</si>
  <si>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</si>
  <si>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</si>
  <si>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</si>
  <si>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</si>
  <si>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</si>
  <si>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</si>
  <si>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</si>
  <si>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</si>
  <si>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</si>
  <si>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</si>
  <si>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</si>
  <si>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</si>
  <si>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</si>
  <si>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</si>
  <si>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</si>
  <si>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</si>
  <si>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</si>
  <si>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</si>
  <si>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</si>
  <si>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</si>
  <si>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</si>
  <si>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</si>
  <si>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</si>
  <si>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</si>
  <si>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</si>
  <si>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</si>
  <si>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</si>
  <si>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</si>
  <si>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</si>
  <si>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</si>
  <si>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</si>
  <si>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</si>
  <si>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</si>
  <si>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</si>
  <si>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</si>
  <si>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</si>
  <si>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</si>
  <si>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</si>
  <si>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</si>
  <si>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</si>
  <si>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</si>
  <si>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</si>
  <si>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</si>
  <si>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</si>
  <si>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</si>
  <si>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</si>
  <si>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</si>
  <si>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</si>
  <si>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MMSE</t>
  </si>
  <si>
    <t>TRO</t>
  </si>
  <si>
    <t>9.5/10</t>
  </si>
  <si>
    <t>AVD</t>
  </si>
  <si>
    <t>KPDS-10</t>
  </si>
  <si>
    <t>Normal</t>
  </si>
  <si>
    <t>IFS Total</t>
  </si>
  <si>
    <t>IFS Índice MT</t>
  </si>
  <si>
    <t>IFS SM</t>
  </si>
  <si>
    <t>IFS IC</t>
  </si>
  <si>
    <t>IFS CIM</t>
  </si>
  <si>
    <t>IFS DA</t>
  </si>
  <si>
    <t>IFS MA</t>
  </si>
  <si>
    <t>IFS MTV</t>
  </si>
  <si>
    <t>IFS R</t>
  </si>
  <si>
    <t>IFS CIV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</si>
  <si>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</si>
  <si>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</si>
  <si>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</si>
  <si>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</si>
  <si>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</si>
  <si>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</si>
  <si>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</si>
  <si>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PROTOCOLO XTEND</t>
  </si>
  <si>
    <t>Antecedentes mamá con EA (temprano - a los 65 aprox)</t>
  </si>
  <si>
    <t>QSM: olvida cosas puntuales (fue a un partido y por ahi </t>
  </si>
  <si>
    <t>Rutina: "manejo una empresa" (a veces presencial a veces no), "siempre estoy con el bendito teléfono siempre conectado", algunos dias se toma descanso (pesca), "vuelvo a casa liquidado"</t>
  </si>
  <si>
    <t>Vida social presente y familiar.</t>
  </si>
  <si>
    <t>Actividad física: yoga 2 veces x semana y gimnasio 3 veces x semana, "no lo negocio, lo hago con ganas"</t>
  </si>
  <si>
    <t>Sueño: "duermo bien pero duermo poco", despertares para ir al baño, a veces se despierta 4-5am y le cuesta dormir; a veces duerme menos de 5-6hs.</t>
  </si>
  <si>
    <t>Animicamente: "bárbaro", "cierto estrés cerebral y financiero".</t>
  </si>
  <si>
    <t>Vive en pareja.</t>
  </si>
  <si>
    <t>Screening cognitivo y psiquiátrico</t>
  </si>
  <si>
    <t>Visoconstrucción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</si>
  <si>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</si>
  <si>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</si>
  <si>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</si>
  <si>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</si>
  <si>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</si>
  <si>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</si>
  <si>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</si>
  <si>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</si>
  <si>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</si>
  <si>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</si>
  <si>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</si>
  <si>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</si>
  <si>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</si>
  <si>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</si>
  <si>
    <t>Riesgo de evolución</t>
  </si>
  <si>
    <t xml:space="preserve">Derivado por </t>
  </si>
  <si>
    <t>Si</t>
  </si>
  <si>
    <t>Orientación temporal</t>
  </si>
  <si>
    <t>Orientación espacial</t>
  </si>
  <si>
    <t>C-QSM</t>
  </si>
  <si>
    <t>KPDS-10 Total</t>
  </si>
  <si>
    <t>No</t>
  </si>
  <si>
    <t>2 normal</t>
  </si>
  <si>
    <t>3 normal</t>
  </si>
  <si>
    <t>4 normal</t>
  </si>
  <si>
    <t>6 normal</t>
  </si>
  <si>
    <t>7/10</t>
  </si>
  <si>
    <t>Asiste acompañado con</t>
  </si>
  <si>
    <t>Área</t>
  </si>
  <si>
    <t>Deterioro significativo</t>
  </si>
  <si>
    <t>Puntajes bajos</t>
  </si>
  <si>
    <t>Puntajes promedio</t>
  </si>
  <si>
    <t>Puntajes superiores</t>
  </si>
  <si>
    <t>&lt; - 3</t>
  </si>
  <si>
    <t>- 3 a -2</t>
  </si>
  <si>
    <t>0 a +1</t>
  </si>
  <si>
    <t>-2 a -1</t>
  </si>
  <si>
    <t>-1 a 0</t>
  </si>
  <si>
    <t>+2 a +3</t>
  </si>
  <si>
    <t>&gt; +3</t>
  </si>
  <si>
    <t>BEM – MS AS1</t>
  </si>
  <si>
    <t>BEM – MS AS2</t>
  </si>
  <si>
    <t>BEM – MS AS3</t>
  </si>
  <si>
    <t>+1 a +2</t>
  </si>
  <si>
    <t>No completar</t>
  </si>
  <si>
    <t>30/30</t>
  </si>
  <si>
    <t>9,5/10</t>
  </si>
  <si>
    <t>26,5/30</t>
  </si>
  <si>
    <t>2,5 normal</t>
  </si>
  <si>
    <t>Diestro</t>
  </si>
  <si>
    <t>Bunader, José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</si>
</sst>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-3]&quot;≤-3&quot;;[&gt;=3]&quot;≥3&quot;;0.00"/>
  </numFmts>
  <fonts count="2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4998626667073579"/>
        <bgColor rgb="FFF2F2F2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1" fillId="0" borderId="35"/>
    <xf numFmtId="0" fontId="21" fillId="0" borderId="35"/>
  </cellStyleXfs>
  <cellXfs count="279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15" borderId="87" xfId="0" applyFont="1" applyFill="1" applyBorder="1"/>
    <xf numFmtId="0" fontId="15" fillId="16" borderId="88" xfId="0" applyFont="1" applyFill="1" applyBorder="1" applyAlignment="1">
      <alignment horizontal="center" vertical="center"/>
    </xf>
    <xf numFmtId="14" fontId="15" fillId="16" borderId="88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04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6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09" xfId="0" applyFont="1" applyBorder="1" applyAlignment="1"/>
    <xf numFmtId="0" fontId="15" fillId="0" borderId="35" xfId="0" applyFont="1" applyBorder="1" applyAlignment="1"/>
    <xf numFmtId="0" fontId="15" fillId="0" borderId="110" xfId="0" applyFont="1" applyBorder="1"/>
    <xf numFmtId="0" fontId="15" fillId="0" borderId="110" xfId="0" applyFont="1" applyBorder="1" applyAlignment="1"/>
    <xf numFmtId="0" fontId="0" fillId="0" borderId="110" xfId="0" applyFont="1" applyBorder="1" applyAlignment="1"/>
    <xf numFmtId="0" fontId="0" fillId="0" borderId="107" xfId="0" applyFont="1" applyBorder="1" applyAlignment="1"/>
    <xf numFmtId="0" fontId="15" fillId="0" borderId="108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83" xfId="0" applyFont="1" applyBorder="1"/>
    <xf numFmtId="0" fontId="18" fillId="0" borderId="0" xfId="0" applyFont="1" applyAlignment="1"/>
    <xf numFmtId="0" fontId="20" fillId="0" borderId="0" xfId="0" applyFont="1" applyAlignment="1">
      <alignment horizontal="right" vertical="center" wrapText="1"/>
    </xf>
    <xf numFmtId="0" fontId="19" fillId="0" borderId="35" xfId="0" applyFont="1" applyBorder="1" applyAlignment="1">
      <alignment horizontal="left" wrapText="1"/>
    </xf>
    <xf numFmtId="0" fontId="15" fillId="19" borderId="111" xfId="0" applyFont="1" applyFill="1" applyBorder="1" applyAlignment="1"/>
    <xf numFmtId="0" fontId="15" fillId="19" borderId="112" xfId="0" applyFont="1" applyFill="1" applyBorder="1" applyAlignment="1"/>
    <xf numFmtId="0" fontId="18" fillId="19" borderId="112" xfId="0" applyFont="1" applyFill="1" applyBorder="1" applyAlignment="1"/>
    <xf numFmtId="0" fontId="19" fillId="19" borderId="112" xfId="0" applyFont="1" applyFill="1" applyBorder="1" applyAlignment="1">
      <alignment horizontal="left" wrapText="1"/>
    </xf>
    <xf numFmtId="0" fontId="19" fillId="19" borderId="112" xfId="0" applyFont="1" applyFill="1" applyBorder="1" applyAlignment="1">
      <alignment horizontal="left"/>
    </xf>
    <xf numFmtId="0" fontId="15" fillId="19" borderId="112" xfId="0" applyFont="1" applyFill="1" applyBorder="1" applyAlignment="1">
      <alignment horizontal="left"/>
    </xf>
    <xf numFmtId="0" fontId="15" fillId="19" borderId="113" xfId="0" applyFont="1" applyFill="1" applyBorder="1" applyAlignment="1">
      <alignment horizontal="left"/>
    </xf>
    <xf numFmtId="0" fontId="22" fillId="0" borderId="0" xfId="0" applyFont="1" applyAlignment="1"/>
    <xf numFmtId="0" fontId="16" fillId="2" borderId="115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0" fontId="16" fillId="14" borderId="81" xfId="0" applyFont="1" applyFill="1" applyBorder="1" applyAlignment="1">
      <alignment horizontal="center" vertical="center"/>
    </xf>
    <xf numFmtId="0" fontId="15" fillId="16" borderId="35" xfId="0" applyFont="1" applyFill="1" applyBorder="1" applyAlignment="1">
      <alignment horizontal="center" vertical="center" wrapText="1"/>
    </xf>
    <xf numFmtId="0" fontId="16" fillId="2" borderId="81" xfId="0" applyFont="1" applyFill="1" applyBorder="1" applyAlignment="1">
      <alignment horizontal="center" vertical="center" wrapText="1"/>
    </xf>
    <xf numFmtId="0" fontId="15" fillId="4" borderId="105" xfId="0" applyFont="1" applyFill="1" applyBorder="1" applyAlignment="1">
      <alignment horizontal="center" vertical="center" wrapText="1"/>
    </xf>
    <xf numFmtId="49" fontId="15" fillId="18" borderId="79" xfId="0" applyNumberFormat="1" applyFont="1" applyFill="1" applyBorder="1" applyAlignment="1">
      <alignment horizontal="center" vertical="center" wrapText="1"/>
    </xf>
    <xf numFmtId="0" fontId="16" fillId="3" borderId="81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  <xf numFmtId="0" fontId="16" fillId="17" borderId="116" xfId="0" applyFont="1" applyFill="1" applyBorder="1" applyAlignment="1">
      <alignment vertical="center" wrapText="1"/>
    </xf>
    <xf numFmtId="0" fontId="16" fillId="17" borderId="117" xfId="0" applyFont="1" applyFill="1" applyBorder="1" applyAlignment="1">
      <alignment vertical="center" wrapText="1"/>
    </xf>
    <xf numFmtId="14" fontId="15" fillId="17" borderId="9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0" fillId="0" borderId="0" xfId="0" applyFont="1" applyAlignment="1"/>
    <xf numFmtId="0" fontId="16" fillId="3" borderId="35" xfId="0" applyFont="1" applyFill="1" applyBorder="1" applyAlignment="1">
      <alignment horizontal="center"/>
    </xf>
    <xf numFmtId="49" fontId="16" fillId="3" borderId="105" xfId="0" applyNumberFormat="1" applyFont="1" applyFill="1" applyBorder="1" applyAlignment="1">
      <alignment horizontal="center" vertical="center"/>
    </xf>
    <xf numFmtId="49" fontId="16" fillId="3" borderId="80" xfId="0" applyNumberFormat="1" applyFont="1" applyFill="1" applyBorder="1" applyAlignment="1">
      <alignment horizontal="center" vertical="center"/>
    </xf>
    <xf numFmtId="2" fontId="16" fillId="3" borderId="80" xfId="0" applyNumberFormat="1" applyFont="1" applyFill="1" applyBorder="1" applyAlignment="1">
      <alignment horizontal="center" vertical="center"/>
    </xf>
    <xf numFmtId="2" fontId="16" fillId="20" borderId="93" xfId="0" applyNumberFormat="1" applyFont="1" applyFill="1" applyBorder="1" applyAlignment="1">
      <alignment horizontal="center" vertical="center" wrapText="1"/>
    </xf>
    <xf numFmtId="2" fontId="16" fillId="20" borderId="97" xfId="0" applyNumberFormat="1" applyFont="1" applyFill="1" applyBorder="1" applyAlignment="1">
      <alignment horizontal="center" vertical="center" wrapText="1"/>
    </xf>
    <xf numFmtId="2" fontId="16" fillId="20" borderId="118" xfId="0" applyNumberFormat="1" applyFont="1" applyFill="1" applyBorder="1" applyAlignment="1">
      <alignment horizontal="center" vertical="center" wrapText="1"/>
    </xf>
    <xf numFmtId="2" fontId="16" fillId="15" borderId="93" xfId="0" applyNumberFormat="1" applyFont="1" applyFill="1" applyBorder="1" applyAlignment="1">
      <alignment horizontal="center" vertical="center" wrapText="1"/>
    </xf>
    <xf numFmtId="0" fontId="15" fillId="0" borderId="35" xfId="0" applyFont="1" applyBorder="1"/>
    <xf numFmtId="0" fontId="0" fillId="0" borderId="108" xfId="0" applyFont="1" applyBorder="1" applyAlignment="1"/>
    <xf numFmtId="0" fontId="24" fillId="0" borderId="0" xfId="0" applyFont="1" applyAlignment="1"/>
    <xf numFmtId="164" fontId="15" fillId="2" borderId="93" xfId="0" applyNumberFormat="1" applyFont="1" applyFill="1" applyBorder="1" applyAlignment="1">
      <alignment horizontal="center" vertical="center" wrapText="1"/>
    </xf>
    <xf numFmtId="164" fontId="15" fillId="2" borderId="88" xfId="0" applyNumberFormat="1" applyFont="1" applyFill="1" applyBorder="1" applyAlignment="1">
      <alignment horizontal="center" vertical="center" wrapText="1"/>
    </xf>
    <xf numFmtId="164" fontId="16" fillId="20" borderId="97" xfId="0" applyNumberFormat="1" applyFont="1" applyFill="1" applyBorder="1" applyAlignment="1">
      <alignment horizontal="center" vertical="center" wrapText="1"/>
    </xf>
    <xf numFmtId="164" fontId="16" fillId="20" borderId="118" xfId="0" applyNumberFormat="1" applyFont="1" applyFill="1" applyBorder="1" applyAlignment="1">
      <alignment horizontal="center" vertical="center" wrapText="1"/>
    </xf>
    <xf numFmtId="164" fontId="15" fillId="2" borderId="97" xfId="0" applyNumberFormat="1" applyFont="1" applyFill="1" applyBorder="1" applyAlignment="1">
      <alignment horizontal="center" vertical="center" wrapText="1"/>
    </xf>
    <xf numFmtId="164" fontId="15" fillId="2" borderId="90" xfId="0" applyNumberFormat="1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49" fontId="1" fillId="4" borderId="79" xfId="0" applyNumberFormat="1" applyFont="1" applyFill="1" applyBorder="1" applyAlignment="1">
      <alignment horizontal="center" vertical="center" wrapText="1"/>
    </xf>
    <xf numFmtId="0" fontId="1" fillId="4" borderId="7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14" borderId="93" xfId="0" applyFont="1" applyFill="1" applyBorder="1" applyAlignment="1">
      <alignment horizontal="center" vertical="center"/>
    </xf>
    <xf numFmtId="14" fontId="1" fillId="17" borderId="88" xfId="0" applyNumberFormat="1" applyFont="1" applyFill="1" applyBorder="1" applyAlignment="1">
      <alignment horizontal="center" vertical="center" wrapText="1"/>
    </xf>
    <xf numFmtId="0" fontId="1" fillId="4" borderId="93" xfId="0" applyFont="1" applyFill="1" applyBorder="1" applyAlignment="1">
      <alignment horizontal="center" vertical="center" wrapText="1"/>
    </xf>
    <xf numFmtId="0" fontId="1" fillId="4" borderId="88" xfId="0" applyFont="1" applyFill="1" applyBorder="1" applyAlignment="1">
      <alignment horizontal="center" vertical="center" wrapText="1"/>
    </xf>
    <xf numFmtId="0" fontId="1" fillId="4" borderId="9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6" fillId="3" borderId="101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8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1" fillId="0" borderId="9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0" fontId="16" fillId="3" borderId="114" xfId="0" applyFont="1" applyFill="1" applyBorder="1" applyAlignment="1">
      <alignment horizontal="center" vertical="center"/>
    </xf>
    <xf numFmtId="0" fontId="16" fillId="3" borderId="101" xfId="0" applyFont="1" applyFill="1" applyBorder="1" applyAlignment="1">
      <alignment horizontal="center" vertical="center" wrapText="1"/>
    </xf>
    <xf numFmtId="0" fontId="16" fillId="3" borderId="102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49" fontId="16" fillId="3" borderId="81" xfId="0" applyNumberFormat="1" applyFont="1" applyFill="1" applyBorder="1" applyAlignment="1">
      <alignment horizontal="center" vertical="center"/>
    </xf>
    <xf numFmtId="49" fontId="16" fillId="3" borderId="83" xfId="0" applyNumberFormat="1" applyFont="1" applyFill="1" applyBorder="1" applyAlignment="1">
      <alignment horizontal="center" vertical="center"/>
    </xf>
    <xf numFmtId="0" fontId="16" fillId="3" borderId="111" xfId="0" applyFont="1" applyFill="1" applyBorder="1" applyAlignment="1">
      <alignment horizontal="center" vertical="center" wrapText="1"/>
    </xf>
    <xf numFmtId="0" fontId="16" fillId="3" borderId="112" xfId="0" applyFont="1" applyFill="1" applyBorder="1" applyAlignment="1">
      <alignment horizontal="center" vertical="center" wrapText="1"/>
    </xf>
    <xf numFmtId="0" fontId="16" fillId="3" borderId="113" xfId="0" applyFont="1" applyFill="1" applyBorder="1" applyAlignment="1">
      <alignment horizontal="center" vertical="center" wrapText="1"/>
    </xf>
    <xf numFmtId="49" fontId="16" fillId="3" borderId="82" xfId="0" applyNumberFormat="1" applyFont="1" applyFill="1" applyBorder="1" applyAlignment="1">
      <alignment horizontal="center" vertical="center"/>
    </xf>
    <xf numFmtId="0" fontId="23" fillId="0" borderId="85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3" fillId="0" borderId="86" xfId="0" applyFont="1" applyBorder="1" applyAlignment="1">
      <alignment horizontal="center"/>
    </xf>
    <xf numFmtId="0" fontId="23" fillId="0" borderId="81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3" fillId="0" borderId="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3" xfId="0" applyFont="1" applyBorder="1"/>
    <xf numFmtId="0" fontId="1" fillId="13" borderId="26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9"/>
  <sheetViews>
    <sheetView tabSelected="1" topLeftCell="A25" zoomScale="70" zoomScaleNormal="70" workbookViewId="0">
      <selection activeCell="F62" sqref="F62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0.5" customWidth="1"/>
    <col min="4" max="4" width="12" customWidth="1"/>
    <col min="5" max="5" width="19" bestFit="1" customWidth="1"/>
    <col min="6" max="6" width="12.75" style="105" bestFit="1" customWidth="1"/>
    <col min="7" max="7" width="16.125" style="105" bestFit="1" customWidth="1"/>
    <col min="8" max="8" width="17" style="184" bestFit="1" customWidth="1"/>
    <col min="9" max="12" width="17" style="184" customWidth="1"/>
    <col min="13" max="13" width="10.5" style="184" customWidth="1"/>
    <col min="14" max="16" width="10.5" style="105" customWidth="1"/>
    <col min="17" max="17" width="14.5" customWidth="1"/>
    <col min="18" max="18" width="10.5" customWidth="1"/>
    <col min="19" max="19" width="14.875" customWidth="1"/>
    <col min="20" max="20" width="13.625" customWidth="1"/>
    <col min="21" max="21" width="10.5" customWidth="1"/>
    <col min="22" max="22" width="14.25" customWidth="1"/>
    <col min="23" max="36" width="10.5" customWidth="1"/>
  </cols>
  <sheetData>
    <row r="1" spans="1:21" ht="16.5" customHeight="1" thickBot="1" x14ac:dyDescent="0.3">
      <c r="A1" s="225" t="s">
        <v>0</v>
      </c>
      <c r="B1" s="22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61"/>
      <c r="O1" s="107"/>
      <c r="P1" s="107"/>
      <c r="Q1" s="108"/>
      <c r="R1" s="109"/>
      <c r="S1" s="108"/>
    </row>
    <row r="2" spans="1:21" ht="15.75" customHeight="1" x14ac:dyDescent="0.25">
      <c r="A2" s="127" t="s">
        <v>148</v>
      </c>
      <c r="B2" s="206" t="s">
        <v>197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62"/>
      <c r="O2" s="107"/>
      <c r="P2" s="107"/>
      <c r="Q2" s="108"/>
      <c r="R2" s="109"/>
      <c r="S2" s="108"/>
    </row>
    <row r="3" spans="1:21" ht="15.75" customHeight="1" x14ac:dyDescent="0.25">
      <c r="A3" s="113" t="s">
        <v>2</v>
      </c>
      <c r="B3" s="114">
        <v>61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62"/>
      <c r="O3" s="107"/>
      <c r="P3" s="107"/>
      <c r="Q3" s="108"/>
      <c r="R3" s="109"/>
      <c r="S3" s="108"/>
    </row>
    <row r="4" spans="1:21" s="105" customFormat="1" ht="15.75" customHeight="1" x14ac:dyDescent="0.25">
      <c r="A4" s="113" t="s">
        <v>132</v>
      </c>
      <c r="B4" s="115">
        <v>23628</v>
      </c>
      <c r="C4" s="107"/>
      <c r="D4" s="107"/>
      <c r="E4" s="158"/>
      <c r="F4" s="107"/>
      <c r="G4" s="107"/>
      <c r="H4" s="107"/>
      <c r="I4" s="107"/>
      <c r="J4" s="107"/>
      <c r="K4" s="107"/>
      <c r="L4" s="107"/>
      <c r="M4" s="107"/>
      <c r="N4" s="162"/>
      <c r="O4" s="107"/>
      <c r="P4" s="107"/>
      <c r="Q4" s="108"/>
      <c r="R4" s="109"/>
      <c r="S4" s="108"/>
    </row>
    <row r="5" spans="1:21" ht="15.75" customHeight="1" x14ac:dyDescent="0.25">
      <c r="A5" s="113" t="s">
        <v>147</v>
      </c>
      <c r="B5" s="116" t="s">
        <v>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62"/>
      <c r="O5" s="107"/>
      <c r="P5" s="107"/>
      <c r="Q5" s="108"/>
      <c r="R5" s="109"/>
      <c r="S5" s="108"/>
    </row>
    <row r="6" spans="1:21" s="105" customFormat="1" ht="15.75" customHeight="1" x14ac:dyDescent="0.25">
      <c r="A6" s="117" t="s">
        <v>133</v>
      </c>
      <c r="B6" s="118" t="s">
        <v>196</v>
      </c>
      <c r="C6" s="107"/>
      <c r="D6" s="107"/>
      <c r="E6" s="158"/>
      <c r="F6" s="107"/>
      <c r="G6" s="107"/>
      <c r="H6" s="107"/>
      <c r="I6" s="107"/>
      <c r="J6" s="107"/>
      <c r="K6" s="107"/>
      <c r="L6" s="107"/>
      <c r="M6" s="107"/>
      <c r="N6" s="162"/>
      <c r="O6" s="107"/>
      <c r="P6" s="107"/>
      <c r="Q6" s="108"/>
      <c r="R6" s="109"/>
      <c r="S6" s="108"/>
    </row>
    <row r="7" spans="1:21" s="105" customFormat="1" ht="15.75" customHeight="1" x14ac:dyDescent="0.25">
      <c r="A7" s="117" t="s">
        <v>134</v>
      </c>
      <c r="B7" s="128">
        <v>46265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62"/>
      <c r="O7" s="107"/>
      <c r="P7" s="107"/>
      <c r="Q7" s="108"/>
      <c r="R7" s="109"/>
      <c r="S7" s="108"/>
    </row>
    <row r="8" spans="1:21" s="105" customFormat="1" ht="15.75" customHeight="1" thickBot="1" x14ac:dyDescent="0.3">
      <c r="A8" s="117" t="s">
        <v>174</v>
      </c>
      <c r="B8" s="128" t="s">
        <v>168</v>
      </c>
      <c r="C8" s="107"/>
      <c r="D8" s="107"/>
      <c r="E8" s="158"/>
      <c r="F8" s="107"/>
      <c r="G8" s="107"/>
      <c r="H8" s="107"/>
      <c r="I8" s="107"/>
      <c r="J8" s="107"/>
      <c r="K8" s="107"/>
      <c r="L8" s="107"/>
      <c r="M8" s="107"/>
      <c r="N8" s="162"/>
      <c r="O8" s="107"/>
      <c r="P8" s="107"/>
      <c r="Q8" s="108"/>
      <c r="R8" s="109"/>
      <c r="S8" s="108"/>
    </row>
    <row r="9" spans="1:21" s="106" customFormat="1" ht="15.75" customHeight="1" thickBot="1" x14ac:dyDescent="0.3">
      <c r="A9" s="178" t="s">
        <v>162</v>
      </c>
      <c r="B9" s="207" t="s">
        <v>168</v>
      </c>
      <c r="C9" s="107"/>
      <c r="D9" s="242" t="s">
        <v>191</v>
      </c>
      <c r="E9" s="243"/>
      <c r="F9" s="243"/>
      <c r="G9" s="243"/>
      <c r="H9" s="243"/>
      <c r="I9" s="243"/>
      <c r="J9" s="243"/>
      <c r="K9" s="243"/>
      <c r="L9" s="244"/>
      <c r="M9" s="107"/>
      <c r="N9" s="162"/>
      <c r="O9" s="107"/>
      <c r="P9" s="107"/>
      <c r="Q9" s="108"/>
      <c r="R9" s="109"/>
      <c r="S9" s="108"/>
    </row>
    <row r="10" spans="1:21" s="106" customFormat="1" ht="15.75" customHeight="1" thickBot="1" x14ac:dyDescent="0.3">
      <c r="A10" s="179" t="s">
        <v>161</v>
      </c>
      <c r="B10" s="180" t="s">
        <v>168</v>
      </c>
      <c r="C10" s="107"/>
      <c r="D10" s="205"/>
      <c r="E10" s="107"/>
      <c r="F10" s="107"/>
      <c r="G10" s="107"/>
      <c r="H10" s="107"/>
      <c r="I10" s="107"/>
      <c r="J10" s="107"/>
      <c r="K10" s="107"/>
      <c r="L10" s="107"/>
      <c r="M10" s="107"/>
      <c r="N10" s="162"/>
      <c r="O10" s="107"/>
      <c r="P10" s="107"/>
      <c r="Q10" s="108"/>
      <c r="R10" s="109"/>
      <c r="S10" s="108"/>
    </row>
    <row r="11" spans="1:21" ht="15.75" customHeight="1" thickBot="1" x14ac:dyDescent="0.3">
      <c r="A11" s="107"/>
      <c r="B11" s="107"/>
      <c r="C11" s="107"/>
      <c r="D11" s="107"/>
      <c r="E11" s="233" t="s">
        <v>176</v>
      </c>
      <c r="F11" s="234"/>
      <c r="G11" s="186" t="s">
        <v>177</v>
      </c>
      <c r="H11" s="233" t="s">
        <v>178</v>
      </c>
      <c r="I11" s="234"/>
      <c r="J11" s="233" t="s">
        <v>179</v>
      </c>
      <c r="K11" s="238"/>
      <c r="L11" s="234"/>
      <c r="M11" s="107"/>
      <c r="N11" s="162"/>
      <c r="O11" s="107"/>
      <c r="P11" s="107"/>
      <c r="Q11" s="108"/>
      <c r="R11" s="109"/>
      <c r="S11" s="108"/>
    </row>
    <row r="12" spans="1:21" ht="18" customHeight="1" thickBot="1" x14ac:dyDescent="0.3">
      <c r="A12" s="176" t="s">
        <v>175</v>
      </c>
      <c r="B12" s="130" t="s">
        <v>5</v>
      </c>
      <c r="C12" s="130" t="s">
        <v>6</v>
      </c>
      <c r="D12" s="188" t="s">
        <v>7</v>
      </c>
      <c r="E12" s="187" t="s">
        <v>180</v>
      </c>
      <c r="F12" s="186" t="s">
        <v>181</v>
      </c>
      <c r="G12" s="186" t="s">
        <v>183</v>
      </c>
      <c r="H12" s="186" t="s">
        <v>184</v>
      </c>
      <c r="I12" s="186" t="s">
        <v>182</v>
      </c>
      <c r="J12" s="186" t="s">
        <v>190</v>
      </c>
      <c r="K12" s="186" t="s">
        <v>185</v>
      </c>
      <c r="L12" s="186" t="s">
        <v>186</v>
      </c>
      <c r="M12" s="107"/>
      <c r="N12" s="162"/>
      <c r="O12" s="107"/>
      <c r="P12" s="107"/>
      <c r="Q12" s="110"/>
      <c r="R12" s="110"/>
      <c r="S12" s="108"/>
      <c r="T12" s="168"/>
      <c r="U12" s="12"/>
    </row>
    <row r="13" spans="1:21" s="105" customFormat="1" ht="18" customHeight="1" x14ac:dyDescent="0.25">
      <c r="A13" s="213" t="s">
        <v>145</v>
      </c>
      <c r="B13" s="122" t="s">
        <v>113</v>
      </c>
      <c r="C13" s="202" t="s">
        <v>192</v>
      </c>
      <c r="D13" s="189"/>
      <c r="E13" s="189"/>
      <c r="F13" s="189"/>
      <c r="G13" s="189"/>
      <c r="H13" s="189"/>
      <c r="I13" s="189"/>
      <c r="J13" s="189"/>
      <c r="K13" s="189"/>
      <c r="L13" s="189"/>
      <c r="M13" s="107"/>
      <c r="N13" s="162"/>
      <c r="O13" s="107"/>
      <c r="P13" s="107"/>
      <c r="Q13" s="110"/>
      <c r="R13" s="110"/>
      <c r="S13" s="108"/>
      <c r="U13" s="12"/>
    </row>
    <row r="14" spans="1:21" s="106" customFormat="1" ht="18" customHeight="1" x14ac:dyDescent="0.25">
      <c r="A14" s="229"/>
      <c r="B14" s="169" t="s">
        <v>164</v>
      </c>
      <c r="C14" s="170" t="s">
        <v>163</v>
      </c>
      <c r="D14" s="190"/>
      <c r="E14" s="190"/>
      <c r="F14" s="190"/>
      <c r="G14" s="190"/>
      <c r="H14" s="190"/>
      <c r="I14" s="190"/>
      <c r="J14" s="190"/>
      <c r="K14" s="190"/>
      <c r="L14" s="190"/>
      <c r="M14" s="107"/>
      <c r="N14" s="162"/>
      <c r="O14" s="107"/>
      <c r="P14" s="107"/>
      <c r="Q14" s="110"/>
      <c r="R14" s="110"/>
      <c r="S14" s="108"/>
      <c r="U14" s="12"/>
    </row>
    <row r="15" spans="1:21" s="106" customFormat="1" ht="18" customHeight="1" x14ac:dyDescent="0.25">
      <c r="A15" s="229"/>
      <c r="B15" s="169" t="s">
        <v>165</v>
      </c>
      <c r="C15" s="170" t="s">
        <v>163</v>
      </c>
      <c r="D15" s="190"/>
      <c r="E15" s="190"/>
      <c r="F15" s="190"/>
      <c r="G15" s="190"/>
      <c r="H15" s="190"/>
      <c r="I15" s="190"/>
      <c r="J15" s="190"/>
      <c r="K15" s="190"/>
      <c r="L15" s="190"/>
      <c r="M15" s="107"/>
      <c r="N15" s="162"/>
      <c r="O15" s="107"/>
      <c r="P15" s="107"/>
      <c r="Q15" s="110"/>
      <c r="R15" s="110"/>
      <c r="S15" s="108"/>
      <c r="U15" s="12"/>
    </row>
    <row r="16" spans="1:21" s="105" customFormat="1" ht="18" customHeight="1" x14ac:dyDescent="0.25">
      <c r="A16" s="214"/>
      <c r="B16" s="123" t="s">
        <v>114</v>
      </c>
      <c r="C16" s="203" t="s">
        <v>193</v>
      </c>
      <c r="D16" s="190"/>
      <c r="E16" s="190"/>
      <c r="F16" s="190"/>
      <c r="G16" s="190"/>
      <c r="H16" s="190"/>
      <c r="I16" s="190"/>
      <c r="J16" s="190"/>
      <c r="K16" s="190"/>
      <c r="L16" s="190"/>
      <c r="M16" s="107"/>
      <c r="N16" s="162"/>
      <c r="O16" s="107"/>
      <c r="P16" s="107"/>
      <c r="Q16" s="110"/>
      <c r="R16" s="110"/>
      <c r="S16" s="108"/>
      <c r="U16" s="12"/>
    </row>
    <row r="17" spans="1:24" s="105" customFormat="1" ht="18" customHeight="1" x14ac:dyDescent="0.25">
      <c r="A17" s="214"/>
      <c r="B17" s="123" t="s">
        <v>116</v>
      </c>
      <c r="C17" s="119">
        <v>8</v>
      </c>
      <c r="D17" s="125" t="str">
        <f>IF(C17="","",IF(C17&gt;=8,"Autónomo",IF(C17&gt;=6,"Dependencia leve",IF(C17&gt;=4,"Dependencia moderada",IF(C17&gt;=2,"Dependencia severa","Dependencia total")))))</f>
        <v>Autónomo</v>
      </c>
      <c r="E17" s="190"/>
      <c r="F17" s="190"/>
      <c r="G17" s="190"/>
      <c r="H17" s="190"/>
      <c r="I17" s="190"/>
      <c r="J17" s="190"/>
      <c r="K17" s="190"/>
      <c r="L17" s="190"/>
      <c r="M17" s="107"/>
      <c r="N17" s="162"/>
      <c r="O17" s="107"/>
      <c r="P17" s="107"/>
      <c r="Q17" s="110"/>
      <c r="R17" s="110"/>
      <c r="S17" s="159"/>
      <c r="U17" s="12"/>
    </row>
    <row r="18" spans="1:24" s="105" customFormat="1" ht="33" customHeight="1" thickBot="1" x14ac:dyDescent="0.3">
      <c r="A18" s="215"/>
      <c r="B18" s="124" t="s">
        <v>117</v>
      </c>
      <c r="C18" s="120">
        <f>B63</f>
        <v>15</v>
      </c>
      <c r="D18" s="126" t="str">
        <f>IF(C18="","",IF(C18&gt;=30,"Malestar severo",IF(C18&gt;=25,"Malestar moderado","Normal")))</f>
        <v>Normal</v>
      </c>
      <c r="E18" s="191"/>
      <c r="F18" s="191"/>
      <c r="G18" s="191"/>
      <c r="H18" s="191"/>
      <c r="I18" s="191"/>
      <c r="J18" s="191"/>
      <c r="K18" s="191"/>
      <c r="L18" s="191"/>
      <c r="M18" s="107"/>
      <c r="N18" s="162"/>
      <c r="O18" s="107"/>
      <c r="P18" s="107"/>
      <c r="Q18" s="110"/>
      <c r="R18" s="110"/>
      <c r="S18" s="108"/>
      <c r="U18" s="12"/>
    </row>
    <row r="19" spans="1:24" ht="15.75" customHeight="1" thickBot="1" x14ac:dyDescent="0.3">
      <c r="A19" s="230" t="s">
        <v>149</v>
      </c>
      <c r="B19" s="122" t="s">
        <v>11</v>
      </c>
      <c r="C19" s="121">
        <v>7</v>
      </c>
      <c r="D19" s="196">
        <f>(C19-Q32)/R32</f>
        <v>0.4482758620689658</v>
      </c>
      <c r="E19" s="192" t="str">
        <f>IF(ISNUMBER($D19),IF($D19&lt;-3,"X",""),"")</f>
        <v/>
      </c>
      <c r="F19" s="192" t="str">
        <f>IF(ISNUMBER($D19),IF(AND($D19&gt;=-3,$D19&lt;-2),"X",""),"")</f>
        <v/>
      </c>
      <c r="G19" s="192" t="str">
        <f>IF(ISNUMBER($D19),IF(AND($D19&gt;=-2,$D19&lt;-1),"X",""),"")</f>
        <v/>
      </c>
      <c r="H19" s="192" t="str">
        <f>IF(ISNUMBER($D19),IF(AND($D19&gt;=-1,$D19&lt;0),"X",""),"")</f>
        <v/>
      </c>
      <c r="I19" s="192" t="str">
        <f>IF(ISNUMBER($D19),IF(AND($D19&gt;=0,$D19&lt;1),"X",""),"")</f>
        <v>X</v>
      </c>
      <c r="J19" s="192" t="str">
        <f>IF(ISNUMBER($D19),IF(AND($D19&gt;=1,$D19&lt;2),"X",""),"")</f>
        <v/>
      </c>
      <c r="K19" s="192" t="str">
        <f>IF(ISNUMBER($D19),IF(AND($D19&gt;=2,$D19&lt;3),"X",""),"")</f>
        <v/>
      </c>
      <c r="L19" s="192" t="str">
        <f>IF(ISNUMBER($D19),IF($D19&gt;=3,"X",""),"")</f>
        <v/>
      </c>
      <c r="M19" s="107"/>
      <c r="N19" s="162"/>
      <c r="O19" s="107"/>
      <c r="P19" s="107"/>
      <c r="Q19" s="111"/>
      <c r="R19" s="111"/>
      <c r="S19" s="108"/>
      <c r="T19" s="105"/>
      <c r="U19" s="105"/>
    </row>
    <row r="20" spans="1:24" ht="15.75" customHeight="1" thickBot="1" x14ac:dyDescent="0.3">
      <c r="A20" s="231"/>
      <c r="B20" s="123" t="s">
        <v>12</v>
      </c>
      <c r="C20" s="119">
        <v>4</v>
      </c>
      <c r="D20" s="197">
        <f>(C20-Q33)/R33</f>
        <v>-0.35256410256410242</v>
      </c>
      <c r="E20" s="192" t="str">
        <f t="shared" ref="E20:E23" si="0">IF(ISNUMBER($D20),IF($D20&lt;-3,"X",""),"")</f>
        <v/>
      </c>
      <c r="F20" s="192" t="str">
        <f t="shared" ref="F20:F23" si="1">IF(ISNUMBER($D20),IF(AND($D20&gt;=-3,$D20&lt;-2),"X",""),"")</f>
        <v/>
      </c>
      <c r="G20" s="192" t="str">
        <f t="shared" ref="G20:G23" si="2">IF(ISNUMBER($D20),IF(AND($D20&gt;=-2,$D20&lt;-1),"X",""),"")</f>
        <v/>
      </c>
      <c r="H20" s="192" t="str">
        <f t="shared" ref="H20:H23" si="3">IF(ISNUMBER($D20),IF(AND($D20&gt;=-1,$D20&lt;0),"X",""),"")</f>
        <v>X</v>
      </c>
      <c r="I20" s="192" t="str">
        <f t="shared" ref="I20:I23" si="4">IF(ISNUMBER($D20),IF(AND($D20&gt;=0,$D20&lt;1),"X",""),"")</f>
        <v/>
      </c>
      <c r="J20" s="192" t="str">
        <f t="shared" ref="J20:J23" si="5">IF(ISNUMBER($D20),IF(AND($D20&gt;=1,$D20&lt;2),"X",""),"")</f>
        <v/>
      </c>
      <c r="K20" s="192" t="str">
        <f t="shared" ref="K20:K23" si="6">IF(ISNUMBER($D20),IF(AND($D20&gt;=2,$D20&lt;3),"X",""),"")</f>
        <v/>
      </c>
      <c r="L20" s="192" t="str">
        <f t="shared" ref="L20:L23" si="7">IF(ISNUMBER($D20),IF($D20&gt;=3,"X",""),"")</f>
        <v/>
      </c>
      <c r="M20" s="107"/>
      <c r="N20" s="162"/>
      <c r="O20" s="107"/>
      <c r="P20" s="158"/>
      <c r="Q20" s="111"/>
      <c r="S20" s="108"/>
      <c r="T20" s="105"/>
      <c r="U20" s="105"/>
      <c r="V20" s="105"/>
    </row>
    <row r="21" spans="1:24" ht="15.75" customHeight="1" thickBot="1" x14ac:dyDescent="0.3">
      <c r="A21" s="231"/>
      <c r="B21" s="123" t="s">
        <v>13</v>
      </c>
      <c r="C21" s="119">
        <v>38</v>
      </c>
      <c r="D21" s="197">
        <f>((C21-Q34)/R34)*-1</f>
        <v>-0.18487394957983216</v>
      </c>
      <c r="E21" s="192" t="str">
        <f t="shared" si="0"/>
        <v/>
      </c>
      <c r="F21" s="192" t="str">
        <f t="shared" si="1"/>
        <v/>
      </c>
      <c r="G21" s="192" t="str">
        <f t="shared" si="2"/>
        <v/>
      </c>
      <c r="H21" s="192" t="str">
        <f t="shared" si="3"/>
        <v>X</v>
      </c>
      <c r="I21" s="192" t="str">
        <f t="shared" si="4"/>
        <v/>
      </c>
      <c r="J21" s="192" t="str">
        <f t="shared" si="5"/>
        <v/>
      </c>
      <c r="K21" s="192" t="str">
        <f t="shared" si="6"/>
        <v/>
      </c>
      <c r="L21" s="192" t="str">
        <f t="shared" si="7"/>
        <v/>
      </c>
      <c r="M21" s="107"/>
      <c r="N21" s="163"/>
      <c r="O21" s="107"/>
      <c r="P21" s="107"/>
      <c r="Q21" s="111"/>
      <c r="R21" s="111"/>
      <c r="S21" s="111"/>
      <c r="T21" s="105"/>
      <c r="U21" s="105"/>
      <c r="V21" s="105"/>
    </row>
    <row r="22" spans="1:24" ht="15.75" customHeight="1" thickBot="1" x14ac:dyDescent="0.3">
      <c r="A22" s="231"/>
      <c r="B22" s="123" t="s">
        <v>14</v>
      </c>
      <c r="C22" s="119">
        <v>42</v>
      </c>
      <c r="D22" s="197">
        <f>((C22-Q35)/R35)*-1</f>
        <v>1.0181818181818183</v>
      </c>
      <c r="E22" s="192" t="str">
        <f t="shared" si="0"/>
        <v/>
      </c>
      <c r="F22" s="192" t="str">
        <f t="shared" si="1"/>
        <v/>
      </c>
      <c r="G22" s="192" t="str">
        <f t="shared" si="2"/>
        <v/>
      </c>
      <c r="H22" s="192" t="str">
        <f t="shared" si="3"/>
        <v/>
      </c>
      <c r="I22" s="192" t="str">
        <f t="shared" si="4"/>
        <v/>
      </c>
      <c r="J22" s="192" t="str">
        <f t="shared" si="5"/>
        <v>X</v>
      </c>
      <c r="K22" s="192" t="str">
        <f t="shared" si="6"/>
        <v/>
      </c>
      <c r="L22" s="192" t="str">
        <f t="shared" si="7"/>
        <v/>
      </c>
      <c r="M22" s="107"/>
      <c r="N22" s="162"/>
      <c r="O22" s="107"/>
      <c r="P22" s="107"/>
      <c r="Q22" s="111"/>
      <c r="R22" s="111"/>
      <c r="S22" s="108"/>
      <c r="T22" s="105"/>
      <c r="U22" s="105"/>
      <c r="V22" s="105"/>
    </row>
    <row r="23" spans="1:24" ht="15.75" customHeight="1" x14ac:dyDescent="0.25">
      <c r="A23" s="231"/>
      <c r="B23" s="123" t="s">
        <v>15</v>
      </c>
      <c r="C23" s="119">
        <v>24</v>
      </c>
      <c r="D23" s="197">
        <f>(C23-Q36)/R36</f>
        <v>2.3124999999999996</v>
      </c>
      <c r="E23" s="192" t="str">
        <f t="shared" si="0"/>
        <v/>
      </c>
      <c r="F23" s="192" t="str">
        <f t="shared" si="1"/>
        <v/>
      </c>
      <c r="G23" s="192" t="str">
        <f t="shared" si="2"/>
        <v/>
      </c>
      <c r="H23" s="192" t="str">
        <f t="shared" si="3"/>
        <v/>
      </c>
      <c r="I23" s="192" t="str">
        <f t="shared" si="4"/>
        <v/>
      </c>
      <c r="J23" s="192" t="str">
        <f t="shared" si="5"/>
        <v/>
      </c>
      <c r="K23" s="192" t="str">
        <f t="shared" si="6"/>
        <v>X</v>
      </c>
      <c r="L23" s="192" t="str">
        <f t="shared" si="7"/>
        <v/>
      </c>
      <c r="M23" s="107"/>
      <c r="N23" s="162"/>
      <c r="O23" s="107"/>
      <c r="P23" s="107"/>
      <c r="Q23" s="111"/>
      <c r="R23" s="111"/>
      <c r="S23" s="108"/>
      <c r="T23" s="105"/>
      <c r="U23" s="105"/>
      <c r="V23" s="105"/>
    </row>
    <row r="24" spans="1:24" s="105" customFormat="1" ht="15.75" customHeight="1" x14ac:dyDescent="0.25">
      <c r="A24" s="231"/>
      <c r="B24" s="123" t="s">
        <v>119</v>
      </c>
      <c r="C24" s="204" t="s">
        <v>194</v>
      </c>
      <c r="D24" s="198"/>
      <c r="E24" s="190"/>
      <c r="F24" s="190"/>
      <c r="G24" s="190"/>
      <c r="H24" s="190"/>
      <c r="I24" s="190"/>
      <c r="J24" s="190"/>
      <c r="K24" s="190"/>
      <c r="L24" s="190"/>
      <c r="M24" s="107"/>
      <c r="N24" s="162"/>
      <c r="O24" s="107"/>
      <c r="P24" s="107"/>
      <c r="Q24" s="111"/>
      <c r="R24" s="111"/>
      <c r="S24" s="108"/>
    </row>
    <row r="25" spans="1:24" s="105" customFormat="1" ht="15.75" customHeight="1" x14ac:dyDescent="0.25">
      <c r="A25" s="231"/>
      <c r="B25" s="123" t="s">
        <v>120</v>
      </c>
      <c r="C25" s="175" t="s">
        <v>173</v>
      </c>
      <c r="D25" s="198"/>
      <c r="E25" s="190"/>
      <c r="F25" s="190"/>
      <c r="G25" s="190"/>
      <c r="H25" s="190"/>
      <c r="I25" s="190"/>
      <c r="J25" s="190"/>
      <c r="K25" s="190"/>
      <c r="L25" s="190"/>
      <c r="M25" s="107"/>
      <c r="N25" s="162"/>
      <c r="O25" s="107"/>
      <c r="P25" s="107"/>
      <c r="Q25" s="111"/>
      <c r="R25" s="111"/>
      <c r="S25" s="108"/>
    </row>
    <row r="26" spans="1:24" s="105" customFormat="1" ht="15.75" customHeight="1" x14ac:dyDescent="0.25">
      <c r="A26" s="231"/>
      <c r="B26" s="123" t="s">
        <v>121</v>
      </c>
      <c r="C26" s="119" t="s">
        <v>170</v>
      </c>
      <c r="D26" s="198"/>
      <c r="E26" s="190"/>
      <c r="F26" s="190"/>
      <c r="G26" s="190"/>
      <c r="H26" s="190"/>
      <c r="I26" s="190"/>
      <c r="J26" s="190"/>
      <c r="K26" s="190"/>
      <c r="L26" s="190"/>
      <c r="M26" s="107"/>
      <c r="N26" s="162"/>
      <c r="O26" s="107"/>
      <c r="P26" s="107"/>
      <c r="Q26" s="111"/>
      <c r="R26" s="111"/>
      <c r="S26" s="108"/>
    </row>
    <row r="27" spans="1:24" s="105" customFormat="1" ht="15.75" customHeight="1" x14ac:dyDescent="0.25">
      <c r="A27" s="231"/>
      <c r="B27" s="123" t="s">
        <v>122</v>
      </c>
      <c r="C27" s="119" t="s">
        <v>170</v>
      </c>
      <c r="D27" s="198"/>
      <c r="E27" s="190"/>
      <c r="F27" s="190"/>
      <c r="G27" s="190"/>
      <c r="H27" s="190"/>
      <c r="I27" s="190"/>
      <c r="J27" s="190"/>
      <c r="K27" s="190"/>
      <c r="L27" s="190"/>
      <c r="M27" s="107"/>
      <c r="N27" s="162"/>
      <c r="O27" s="107"/>
      <c r="P27" s="138"/>
      <c r="Q27" s="193"/>
      <c r="R27" s="193"/>
      <c r="S27" s="135"/>
      <c r="T27" s="136"/>
      <c r="U27" s="136"/>
      <c r="V27" s="136"/>
      <c r="W27" s="136"/>
    </row>
    <row r="28" spans="1:24" s="105" customFormat="1" ht="15.75" customHeight="1" thickBot="1" x14ac:dyDescent="0.3">
      <c r="A28" s="231"/>
      <c r="B28" s="123" t="s">
        <v>123</v>
      </c>
      <c r="C28" s="119" t="s">
        <v>170</v>
      </c>
      <c r="D28" s="198"/>
      <c r="E28" s="190"/>
      <c r="F28" s="190"/>
      <c r="G28" s="190"/>
      <c r="H28" s="190"/>
      <c r="I28" s="190"/>
      <c r="J28" s="190"/>
      <c r="K28" s="190"/>
      <c r="L28" s="190"/>
      <c r="M28" s="158"/>
      <c r="N28" s="162"/>
      <c r="O28" s="107"/>
      <c r="S28" s="135"/>
      <c r="T28" s="136"/>
      <c r="U28" s="136"/>
      <c r="V28" s="136"/>
      <c r="W28" s="136"/>
      <c r="X28" s="136"/>
    </row>
    <row r="29" spans="1:24" s="105" customFormat="1" ht="15.75" customHeight="1" x14ac:dyDescent="0.25">
      <c r="A29" s="231"/>
      <c r="B29" s="123" t="s">
        <v>124</v>
      </c>
      <c r="C29" s="204" t="s">
        <v>171</v>
      </c>
      <c r="D29" s="198"/>
      <c r="E29" s="190"/>
      <c r="F29" s="190"/>
      <c r="G29" s="190"/>
      <c r="H29" s="190"/>
      <c r="I29" s="190"/>
      <c r="J29" s="190"/>
      <c r="K29" s="190"/>
      <c r="L29" s="190"/>
      <c r="M29" s="107"/>
      <c r="N29" s="162"/>
      <c r="O29" s="107"/>
      <c r="P29" s="239" t="s">
        <v>191</v>
      </c>
      <c r="Q29" s="240"/>
      <c r="R29" s="240"/>
      <c r="S29" s="240"/>
      <c r="T29" s="240"/>
      <c r="U29" s="240"/>
      <c r="V29" s="240"/>
      <c r="W29" s="241"/>
    </row>
    <row r="30" spans="1:24" s="105" customFormat="1" ht="15.75" customHeight="1" thickBot="1" x14ac:dyDescent="0.3">
      <c r="A30" s="231"/>
      <c r="B30" s="123" t="s">
        <v>125</v>
      </c>
      <c r="C30" s="119" t="s">
        <v>169</v>
      </c>
      <c r="D30" s="198"/>
      <c r="E30" s="190"/>
      <c r="F30" s="190"/>
      <c r="G30" s="190"/>
      <c r="H30" s="190"/>
      <c r="I30" s="190"/>
      <c r="J30" s="190"/>
      <c r="K30" s="190"/>
      <c r="L30" s="190"/>
      <c r="M30" s="107"/>
      <c r="N30" s="162"/>
      <c r="O30" s="107"/>
      <c r="P30" s="194"/>
      <c r="Q30" s="136"/>
      <c r="R30" s="136"/>
      <c r="S30" s="135"/>
      <c r="T30" s="136"/>
      <c r="U30" s="136"/>
      <c r="V30" s="136"/>
      <c r="W30" s="137"/>
    </row>
    <row r="31" spans="1:24" s="105" customFormat="1" ht="15.75" customHeight="1" thickBot="1" x14ac:dyDescent="0.3">
      <c r="A31" s="231"/>
      <c r="B31" s="123" t="s">
        <v>126</v>
      </c>
      <c r="C31" s="204" t="s">
        <v>170</v>
      </c>
      <c r="D31" s="198"/>
      <c r="E31" s="190"/>
      <c r="F31" s="190"/>
      <c r="G31" s="190"/>
      <c r="H31" s="190"/>
      <c r="I31" s="190"/>
      <c r="J31" s="190"/>
      <c r="K31" s="190"/>
      <c r="L31" s="190"/>
      <c r="M31" s="107"/>
      <c r="N31" s="162"/>
      <c r="O31" s="107"/>
      <c r="P31" s="143"/>
      <c r="Q31" s="146" t="s">
        <v>8</v>
      </c>
      <c r="R31" s="146" t="s">
        <v>9</v>
      </c>
      <c r="S31" s="135"/>
      <c r="T31" s="136"/>
      <c r="U31" s="136"/>
      <c r="V31" s="136"/>
      <c r="W31" s="137"/>
    </row>
    <row r="32" spans="1:24" s="105" customFormat="1" ht="15.75" customHeight="1" x14ac:dyDescent="0.25">
      <c r="A32" s="231"/>
      <c r="B32" s="123" t="s">
        <v>127</v>
      </c>
      <c r="C32" s="204" t="s">
        <v>195</v>
      </c>
      <c r="D32" s="198"/>
      <c r="E32" s="190"/>
      <c r="F32" s="190"/>
      <c r="G32" s="190"/>
      <c r="H32" s="190"/>
      <c r="I32" s="190"/>
      <c r="J32" s="190"/>
      <c r="K32" s="190"/>
      <c r="L32" s="190"/>
      <c r="M32" s="107"/>
      <c r="N32" s="162"/>
      <c r="O32" s="107"/>
      <c r="P32" s="143"/>
      <c r="Q32" s="147">
        <f>VLOOKUP(B3,PRUEBAS!$I$3:$K$89,2,FALSE)</f>
        <v>6.35</v>
      </c>
      <c r="R32" s="148">
        <f>VLOOKUP(B3,PRUEBAS!$I$3:$K$89,3,FALSE)</f>
        <v>1.45</v>
      </c>
      <c r="S32" s="135"/>
      <c r="T32" s="136"/>
      <c r="U32" s="136"/>
      <c r="V32" s="136"/>
      <c r="W32" s="137"/>
    </row>
    <row r="33" spans="1:23" s="105" customFormat="1" ht="15.75" customHeight="1" thickBot="1" x14ac:dyDescent="0.3">
      <c r="A33" s="232"/>
      <c r="B33" s="124" t="s">
        <v>128</v>
      </c>
      <c r="C33" s="120" t="s">
        <v>172</v>
      </c>
      <c r="D33" s="199"/>
      <c r="E33" s="191"/>
      <c r="F33" s="191"/>
      <c r="G33" s="191"/>
      <c r="H33" s="191"/>
      <c r="I33" s="191"/>
      <c r="J33" s="191"/>
      <c r="K33" s="191"/>
      <c r="L33" s="191"/>
      <c r="M33" s="107"/>
      <c r="N33" s="162"/>
      <c r="O33" s="107"/>
      <c r="P33" s="143"/>
      <c r="Q33" s="149">
        <f>VLOOKUP(B3,PRUEBAS!$M$3:$O$89,2,FALSE)</f>
        <v>4.55</v>
      </c>
      <c r="R33" s="150">
        <f>VLOOKUP(B3,PRUEBAS!$M$3:$O$89,3,FALSE)</f>
        <v>1.56</v>
      </c>
      <c r="S33" s="135"/>
      <c r="T33" s="136"/>
      <c r="U33" s="136"/>
      <c r="V33" s="136"/>
      <c r="W33" s="137"/>
    </row>
    <row r="34" spans="1:23" s="184" customFormat="1" ht="15.75" customHeight="1" x14ac:dyDescent="0.25">
      <c r="A34" s="235" t="s">
        <v>16</v>
      </c>
      <c r="B34" s="123" t="s">
        <v>187</v>
      </c>
      <c r="C34" s="119">
        <v>5</v>
      </c>
      <c r="D34" s="198"/>
      <c r="E34" s="190"/>
      <c r="F34" s="190"/>
      <c r="G34" s="190"/>
      <c r="H34" s="190"/>
      <c r="I34" s="190"/>
      <c r="J34" s="190"/>
      <c r="K34" s="190"/>
      <c r="L34" s="190"/>
      <c r="M34" s="107"/>
      <c r="N34" s="162"/>
      <c r="O34" s="107"/>
      <c r="P34" s="143"/>
      <c r="Q34" s="149">
        <f>VLOOKUP(B3,PRUEBAS!$A$3:$C$89,2,FALSE)</f>
        <v>35.799999999999997</v>
      </c>
      <c r="R34" s="150">
        <f>VLOOKUP(B3,PRUEBAS!$A$3:$C$89,3,FALSE)</f>
        <v>11.9</v>
      </c>
      <c r="S34" s="135"/>
      <c r="T34" s="136"/>
      <c r="U34" s="136"/>
      <c r="V34" s="136"/>
      <c r="W34" s="137"/>
    </row>
    <row r="35" spans="1:23" s="184" customFormat="1" ht="15.75" customHeight="1" x14ac:dyDescent="0.25">
      <c r="A35" s="236"/>
      <c r="B35" s="123" t="s">
        <v>188</v>
      </c>
      <c r="C35" s="119">
        <v>8</v>
      </c>
      <c r="D35" s="198"/>
      <c r="E35" s="190"/>
      <c r="F35" s="190"/>
      <c r="G35" s="190"/>
      <c r="H35" s="190"/>
      <c r="I35" s="190"/>
      <c r="J35" s="190"/>
      <c r="K35" s="190"/>
      <c r="L35" s="190"/>
      <c r="M35" s="107"/>
      <c r="N35" s="162"/>
      <c r="O35" s="107"/>
      <c r="P35" s="143"/>
      <c r="Q35" s="149">
        <f>VLOOKUP(B3,PRUEBAS!$E$3:$G$89,2,FALSE)</f>
        <v>81.2</v>
      </c>
      <c r="R35" s="150">
        <f>VLOOKUP(B3,PRUEBAS!$E$3:$G$89,3,FALSE)</f>
        <v>38.5</v>
      </c>
      <c r="S35" s="135"/>
      <c r="T35" s="136"/>
      <c r="U35" s="136"/>
      <c r="V35" s="136"/>
      <c r="W35" s="137"/>
    </row>
    <row r="36" spans="1:23" s="184" customFormat="1" ht="15.75" customHeight="1" thickBot="1" x14ac:dyDescent="0.3">
      <c r="A36" s="236"/>
      <c r="B36" s="123" t="s">
        <v>189</v>
      </c>
      <c r="C36" s="119">
        <v>10</v>
      </c>
      <c r="D36" s="198"/>
      <c r="E36" s="190"/>
      <c r="F36" s="190"/>
      <c r="G36" s="190"/>
      <c r="H36" s="190"/>
      <c r="I36" s="190"/>
      <c r="J36" s="190"/>
      <c r="K36" s="190"/>
      <c r="L36" s="190"/>
      <c r="M36" s="107"/>
      <c r="N36" s="162"/>
      <c r="O36" s="107"/>
      <c r="P36" s="143"/>
      <c r="Q36" s="149">
        <f>VLOOKUP(B3,FLUENCIAS!$K$2:$N$88,(MATCH(B5,FLUENCIAS!$L$2:$N$2,0))+1,0)</f>
        <v>16.600000000000001</v>
      </c>
      <c r="R36" s="150">
        <f>VLOOKUP(B3,FLUENCIAS!$P$2:$S$88,(MATCH(B5,FLUENCIAS!$Q$2:$S$2,0))+1,0)</f>
        <v>3.2</v>
      </c>
      <c r="S36" s="135"/>
      <c r="T36" s="136"/>
      <c r="U36" s="136"/>
      <c r="V36" s="136"/>
      <c r="W36" s="137"/>
    </row>
    <row r="37" spans="1:23" ht="15.75" customHeight="1" thickBot="1" x14ac:dyDescent="0.3">
      <c r="A37" s="236"/>
      <c r="B37" s="123" t="s">
        <v>17</v>
      </c>
      <c r="C37" s="170">
        <f>TRUNC(V38,2)</f>
        <v>7.66</v>
      </c>
      <c r="D37" s="200">
        <f t="shared" ref="D37:D46" si="8">(C37-Q37)/R37</f>
        <v>-0.89944134078212257</v>
      </c>
      <c r="E37" s="192" t="str">
        <f>IF(ISNUMBER($D37),IF($D37&lt;-3,"X",""),"")</f>
        <v/>
      </c>
      <c r="F37" s="192" t="str">
        <f>IF(ISNUMBER($D37),IF(AND($D37&gt;=-3,$D37&lt;-2),"X",""),"")</f>
        <v/>
      </c>
      <c r="G37" s="192" t="str">
        <f>IF(ISNUMBER($D37),IF(AND($D37&gt;=-2,$D37&lt;-1),"X",""),"")</f>
        <v/>
      </c>
      <c r="H37" s="192" t="str">
        <f>IF(ISNUMBER($D37),IF(AND($D37&gt;=-1,$D37&lt;0),"X",""),"")</f>
        <v>X</v>
      </c>
      <c r="I37" s="192" t="str">
        <f>IF(ISNUMBER($D37),IF(AND($D37&gt;=0,$D37&lt;1),"X",""),"")</f>
        <v/>
      </c>
      <c r="J37" s="192" t="str">
        <f>IF(ISNUMBER($D37),IF(AND($D37&gt;=1,$D37&lt;2),"X",""),"")</f>
        <v/>
      </c>
      <c r="K37" s="192" t="str">
        <f>IF(ISNUMBER($D37),IF(AND($D37&gt;=2,$D37&lt;3),"X",""),"")</f>
        <v/>
      </c>
      <c r="L37" s="192" t="str">
        <f>IF(ISNUMBER($D37),IF($D37&gt;=3,"X",""),"")</f>
        <v/>
      </c>
      <c r="M37" s="107"/>
      <c r="N37" s="162"/>
      <c r="O37" s="107"/>
      <c r="P37" s="143"/>
      <c r="Q37" s="149">
        <f>VLOOKUP(B3,PRUEBAS!$AC$3:$AE$89,2,FALSE)</f>
        <v>9.27</v>
      </c>
      <c r="R37" s="150">
        <f>VLOOKUP(B3,PRUEBAS!$AC$3:$AE$89,3,FALSE)</f>
        <v>1.79</v>
      </c>
      <c r="S37" s="135"/>
      <c r="T37" s="227" t="s">
        <v>18</v>
      </c>
      <c r="U37" s="228"/>
      <c r="V37" s="146" t="s">
        <v>17</v>
      </c>
      <c r="W37" s="137"/>
    </row>
    <row r="38" spans="1:23" ht="15.75" customHeight="1" thickBot="1" x14ac:dyDescent="0.3">
      <c r="A38" s="236"/>
      <c r="B38" s="123" t="s">
        <v>19</v>
      </c>
      <c r="C38" s="119">
        <v>8</v>
      </c>
      <c r="D38" s="197">
        <f t="shared" si="8"/>
        <v>-0.12568306010928984</v>
      </c>
      <c r="E38" s="192" t="str">
        <f t="shared" ref="E38:E46" si="9">IF(ISNUMBER($D38),IF($D38&lt;-3,"X",""),"")</f>
        <v/>
      </c>
      <c r="F38" s="192" t="str">
        <f t="shared" ref="F38:F46" si="10">IF(ISNUMBER($D38),IF(AND($D38&gt;=-3,$D38&lt;-2),"X",""),"")</f>
        <v/>
      </c>
      <c r="G38" s="192" t="str">
        <f t="shared" ref="G38:G46" si="11">IF(ISNUMBER($D38),IF(AND($D38&gt;=-2,$D38&lt;-1),"X",""),"")</f>
        <v/>
      </c>
      <c r="H38" s="192" t="str">
        <f t="shared" ref="H38:H46" si="12">IF(ISNUMBER($D38),IF(AND($D38&gt;=-1,$D38&lt;0),"X",""),"")</f>
        <v>X</v>
      </c>
      <c r="I38" s="192" t="str">
        <f t="shared" ref="I38:I46" si="13">IF(ISNUMBER($D38),IF(AND($D38&gt;=0,$D38&lt;1),"X",""),"")</f>
        <v/>
      </c>
      <c r="J38" s="192" t="str">
        <f t="shared" ref="J38:J46" si="14">IF(ISNUMBER($D38),IF(AND($D38&gt;=1,$D38&lt;2),"X",""),"")</f>
        <v/>
      </c>
      <c r="K38" s="192" t="str">
        <f t="shared" ref="K38:K46" si="15">IF(ISNUMBER($D38),IF(AND($D38&gt;=2,$D38&lt;3),"X",""),"")</f>
        <v/>
      </c>
      <c r="L38" s="192" t="str">
        <f t="shared" ref="L38:L46" si="16">IF(ISNUMBER($D38),IF($D38&gt;=3,"X",""),"")</f>
        <v/>
      </c>
      <c r="M38" s="107"/>
      <c r="N38" s="162"/>
      <c r="O38" s="107"/>
      <c r="P38" s="143"/>
      <c r="Q38" s="149">
        <f>VLOOKUP(B3,PRUEBAS!$AG$3:$AI$89,2,FALSE)</f>
        <v>8.23</v>
      </c>
      <c r="R38" s="150">
        <f>VLOOKUP(B3,PRUEBAS!$AG$3:$AI$89,3,FALSE)</f>
        <v>1.83</v>
      </c>
      <c r="S38" s="135"/>
      <c r="T38" s="153" t="s">
        <v>20</v>
      </c>
      <c r="U38" s="145">
        <f>C34</f>
        <v>5</v>
      </c>
      <c r="V38" s="222">
        <f>(U38+U39+U40)/3</f>
        <v>7.666666666666667</v>
      </c>
      <c r="W38" s="137"/>
    </row>
    <row r="39" spans="1:23" ht="15.75" customHeight="1" thickBot="1" x14ac:dyDescent="0.3">
      <c r="A39" s="236"/>
      <c r="B39" s="123" t="s">
        <v>21</v>
      </c>
      <c r="C39" s="119">
        <v>8</v>
      </c>
      <c r="D39" s="197">
        <f t="shared" si="8"/>
        <v>-3.1067961165048534</v>
      </c>
      <c r="E39" s="192" t="str">
        <f t="shared" si="9"/>
        <v>X</v>
      </c>
      <c r="F39" s="192" t="str">
        <f t="shared" si="10"/>
        <v/>
      </c>
      <c r="G39" s="192" t="str">
        <f t="shared" si="11"/>
        <v/>
      </c>
      <c r="H39" s="192" t="str">
        <f t="shared" si="12"/>
        <v/>
      </c>
      <c r="I39" s="192" t="str">
        <f t="shared" si="13"/>
        <v/>
      </c>
      <c r="J39" s="192" t="str">
        <f t="shared" si="14"/>
        <v/>
      </c>
      <c r="K39" s="192" t="str">
        <f t="shared" si="15"/>
        <v/>
      </c>
      <c r="L39" s="192" t="str">
        <f t="shared" si="16"/>
        <v/>
      </c>
      <c r="M39" s="107"/>
      <c r="N39" s="162"/>
      <c r="O39" s="107"/>
      <c r="P39" s="143"/>
      <c r="Q39" s="149">
        <f>VLOOKUP(B3,PRUEBAS!$AK$3:$AM$89,2,FALSE)</f>
        <v>11.2</v>
      </c>
      <c r="R39" s="150">
        <f>VLOOKUP(B3,PRUEBAS!$AK$3:$AM$89,3,FALSE)</f>
        <v>1.03</v>
      </c>
      <c r="S39" s="135"/>
      <c r="T39" s="154" t="s">
        <v>22</v>
      </c>
      <c r="U39" s="144">
        <f>C35</f>
        <v>8</v>
      </c>
      <c r="V39" s="223"/>
      <c r="W39" s="137"/>
    </row>
    <row r="40" spans="1:23" ht="15.75" customHeight="1" thickBot="1" x14ac:dyDescent="0.3">
      <c r="A40" s="236"/>
      <c r="B40" s="123" t="s">
        <v>23</v>
      </c>
      <c r="C40" s="119">
        <v>12</v>
      </c>
      <c r="D40" s="197">
        <f t="shared" si="8"/>
        <v>0.56603773584905792</v>
      </c>
      <c r="E40" s="192" t="str">
        <f t="shared" si="9"/>
        <v/>
      </c>
      <c r="F40" s="192" t="str">
        <f t="shared" si="10"/>
        <v/>
      </c>
      <c r="G40" s="192" t="str">
        <f t="shared" si="11"/>
        <v/>
      </c>
      <c r="H40" s="192" t="str">
        <f t="shared" si="12"/>
        <v/>
      </c>
      <c r="I40" s="192" t="str">
        <f t="shared" si="13"/>
        <v>X</v>
      </c>
      <c r="J40" s="192" t="str">
        <f t="shared" si="14"/>
        <v/>
      </c>
      <c r="K40" s="192" t="str">
        <f t="shared" si="15"/>
        <v/>
      </c>
      <c r="L40" s="192" t="str">
        <f t="shared" si="16"/>
        <v/>
      </c>
      <c r="M40" s="107"/>
      <c r="N40" s="162"/>
      <c r="O40" s="107"/>
      <c r="P40" s="143"/>
      <c r="Q40" s="149">
        <f>VLOOKUP(B3,PRUEBAS!$AO$3:$AQ$89,2,FALSE)</f>
        <v>11.7</v>
      </c>
      <c r="R40" s="150">
        <f>VLOOKUP(B3,PRUEBAS!$AO$3:$AQ$89,3,FALSE)</f>
        <v>0.53</v>
      </c>
      <c r="S40" s="135"/>
      <c r="T40" s="155" t="s">
        <v>24</v>
      </c>
      <c r="U40" s="156">
        <f>C36</f>
        <v>10</v>
      </c>
      <c r="V40" s="224"/>
      <c r="W40" s="137"/>
    </row>
    <row r="41" spans="1:23" ht="15.75" customHeight="1" thickBot="1" x14ac:dyDescent="0.3">
      <c r="A41" s="236"/>
      <c r="B41" s="123" t="s">
        <v>25</v>
      </c>
      <c r="C41" s="119">
        <f>TRUNC(U43,2)</f>
        <v>10</v>
      </c>
      <c r="D41" s="197">
        <f t="shared" si="8"/>
        <v>-2.013888888888888</v>
      </c>
      <c r="E41" s="192" t="str">
        <f t="shared" si="9"/>
        <v/>
      </c>
      <c r="F41" s="192" t="str">
        <f t="shared" si="10"/>
        <v>X</v>
      </c>
      <c r="G41" s="192" t="str">
        <f t="shared" si="11"/>
        <v/>
      </c>
      <c r="H41" s="192" t="str">
        <f t="shared" si="12"/>
        <v/>
      </c>
      <c r="I41" s="192" t="str">
        <f t="shared" si="13"/>
        <v/>
      </c>
      <c r="J41" s="192" t="str">
        <f t="shared" si="14"/>
        <v/>
      </c>
      <c r="K41" s="192" t="str">
        <f t="shared" si="15"/>
        <v/>
      </c>
      <c r="L41" s="192" t="str">
        <f t="shared" si="16"/>
        <v/>
      </c>
      <c r="M41" s="107"/>
      <c r="N41" s="162"/>
      <c r="O41" s="107"/>
      <c r="P41" s="143"/>
      <c r="Q41" s="149">
        <f>VLOOKUP(B3,PRUEBAS!$AS$3:$AU$89,2,FALSE)</f>
        <v>11.45</v>
      </c>
      <c r="R41" s="150">
        <f>VLOOKUP(B3,PRUEBAS!$AS$3:$AU$89,3,FALSE)</f>
        <v>0.72</v>
      </c>
      <c r="S41" s="138"/>
      <c r="T41" s="136"/>
      <c r="U41" s="136"/>
      <c r="V41" s="136"/>
      <c r="W41" s="137"/>
    </row>
    <row r="42" spans="1:23" ht="15.75" customHeight="1" thickBot="1" x14ac:dyDescent="0.3">
      <c r="A42" s="236"/>
      <c r="B42" s="123" t="s">
        <v>26</v>
      </c>
      <c r="C42" s="119">
        <v>7</v>
      </c>
      <c r="D42" s="197">
        <f t="shared" si="8"/>
        <v>-1.2402597402597404</v>
      </c>
      <c r="E42" s="192" t="str">
        <f t="shared" si="9"/>
        <v/>
      </c>
      <c r="F42" s="192" t="str">
        <f t="shared" si="10"/>
        <v/>
      </c>
      <c r="G42" s="192" t="str">
        <f t="shared" si="11"/>
        <v>X</v>
      </c>
      <c r="H42" s="192" t="str">
        <f t="shared" si="12"/>
        <v/>
      </c>
      <c r="I42" s="192" t="str">
        <f t="shared" si="13"/>
        <v/>
      </c>
      <c r="J42" s="192" t="str">
        <f t="shared" si="14"/>
        <v/>
      </c>
      <c r="K42" s="192" t="str">
        <f t="shared" si="15"/>
        <v/>
      </c>
      <c r="L42" s="192" t="str">
        <f t="shared" si="16"/>
        <v/>
      </c>
      <c r="M42" s="107"/>
      <c r="N42" s="162"/>
      <c r="O42" s="107"/>
      <c r="P42" s="143"/>
      <c r="Q42" s="149">
        <f>VLOOKUP(B3,PRUEBAS!$U$3:$W$89,2,FALSE)</f>
        <v>8.91</v>
      </c>
      <c r="R42" s="150">
        <f>VLOOKUP(B3,PRUEBAS!$U$3:$W$89,3,FALSE)</f>
        <v>1.54</v>
      </c>
      <c r="S42" s="138"/>
      <c r="T42" s="136"/>
      <c r="U42" s="136"/>
      <c r="V42" s="136"/>
      <c r="W42" s="137"/>
    </row>
    <row r="43" spans="1:23" ht="15.75" customHeight="1" thickBot="1" x14ac:dyDescent="0.3">
      <c r="A43" s="237"/>
      <c r="B43" s="124" t="s">
        <v>27</v>
      </c>
      <c r="C43" s="120">
        <v>8</v>
      </c>
      <c r="D43" s="201">
        <f t="shared" si="8"/>
        <v>-0.50920245398773012</v>
      </c>
      <c r="E43" s="192" t="str">
        <f t="shared" si="9"/>
        <v/>
      </c>
      <c r="F43" s="192" t="str">
        <f t="shared" si="10"/>
        <v/>
      </c>
      <c r="G43" s="192" t="str">
        <f t="shared" si="11"/>
        <v/>
      </c>
      <c r="H43" s="192" t="str">
        <f t="shared" si="12"/>
        <v>X</v>
      </c>
      <c r="I43" s="192" t="str">
        <f t="shared" si="13"/>
        <v/>
      </c>
      <c r="J43" s="192" t="str">
        <f t="shared" si="14"/>
        <v/>
      </c>
      <c r="K43" s="192" t="str">
        <f t="shared" si="15"/>
        <v/>
      </c>
      <c r="L43" s="192" t="str">
        <f t="shared" si="16"/>
        <v/>
      </c>
      <c r="M43" s="107"/>
      <c r="N43" s="162"/>
      <c r="O43" s="107"/>
      <c r="P43" s="143"/>
      <c r="Q43" s="149">
        <f>VLOOKUP(B3,PRUEBAS!$Y$3:$AA$89,2,FALSE)</f>
        <v>8.83</v>
      </c>
      <c r="R43" s="150">
        <f>VLOOKUP(B3,PRUEBAS!$Y$3:$AA$89,3,FALSE)</f>
        <v>1.63</v>
      </c>
      <c r="S43" s="138"/>
      <c r="T43" s="146" t="s">
        <v>25</v>
      </c>
      <c r="U43" s="157">
        <f>(C39+C40)/2</f>
        <v>10</v>
      </c>
      <c r="V43" s="136"/>
      <c r="W43" s="137"/>
    </row>
    <row r="44" spans="1:23" ht="15.75" customHeight="1" thickBot="1" x14ac:dyDescent="0.3">
      <c r="A44" s="213" t="s">
        <v>28</v>
      </c>
      <c r="B44" s="122" t="s">
        <v>15</v>
      </c>
      <c r="C44" s="121">
        <v>24</v>
      </c>
      <c r="D44" s="196">
        <f t="shared" si="8"/>
        <v>2.3124999999999996</v>
      </c>
      <c r="E44" s="192" t="str">
        <f t="shared" si="9"/>
        <v/>
      </c>
      <c r="F44" s="192" t="str">
        <f t="shared" si="10"/>
        <v/>
      </c>
      <c r="G44" s="192" t="str">
        <f t="shared" si="11"/>
        <v/>
      </c>
      <c r="H44" s="192" t="str">
        <f t="shared" si="12"/>
        <v/>
      </c>
      <c r="I44" s="192" t="str">
        <f t="shared" si="13"/>
        <v/>
      </c>
      <c r="J44" s="192" t="str">
        <f t="shared" si="14"/>
        <v/>
      </c>
      <c r="K44" s="192" t="str">
        <f t="shared" si="15"/>
        <v>X</v>
      </c>
      <c r="L44" s="192" t="str">
        <f t="shared" si="16"/>
        <v/>
      </c>
      <c r="M44" s="107"/>
      <c r="N44" s="162"/>
      <c r="O44" s="107"/>
      <c r="P44" s="143"/>
      <c r="Q44" s="149">
        <f>VLOOKUP(B3,FLUENCIAS!$K$2:$N$88,(MATCH(B5,FLUENCIAS!$L$2:$N$2,0))+1,0)</f>
        <v>16.600000000000001</v>
      </c>
      <c r="R44" s="150">
        <f>VLOOKUP(B3,FLUENCIAS!$P$2:$S$88,(MATCH(B5,FLUENCIAS!$Q$2:$S$2,0))+1,0)</f>
        <v>3.2</v>
      </c>
      <c r="S44" s="138"/>
      <c r="T44" s="136"/>
      <c r="U44" s="136"/>
      <c r="V44" s="136"/>
      <c r="W44" s="137"/>
    </row>
    <row r="45" spans="1:23" ht="15.75" customHeight="1" thickBot="1" x14ac:dyDescent="0.3">
      <c r="A45" s="214"/>
      <c r="B45" s="123" t="s">
        <v>29</v>
      </c>
      <c r="C45" s="119">
        <v>20</v>
      </c>
      <c r="D45" s="197">
        <f t="shared" si="8"/>
        <v>-0.29629629629629656</v>
      </c>
      <c r="E45" s="192" t="str">
        <f t="shared" si="9"/>
        <v/>
      </c>
      <c r="F45" s="192" t="str">
        <f t="shared" si="10"/>
        <v/>
      </c>
      <c r="G45" s="192" t="str">
        <f t="shared" si="11"/>
        <v/>
      </c>
      <c r="H45" s="192" t="str">
        <f t="shared" si="12"/>
        <v>X</v>
      </c>
      <c r="I45" s="192" t="str">
        <f t="shared" si="13"/>
        <v/>
      </c>
      <c r="J45" s="192" t="str">
        <f t="shared" si="14"/>
        <v/>
      </c>
      <c r="K45" s="192" t="str">
        <f t="shared" si="15"/>
        <v/>
      </c>
      <c r="L45" s="192" t="str">
        <f t="shared" si="16"/>
        <v/>
      </c>
      <c r="M45" s="107"/>
      <c r="N45" s="162"/>
      <c r="O45" s="107"/>
      <c r="P45" s="143"/>
      <c r="Q45" s="149">
        <f>VLOOKUP(B3,FLUENCIAS!$A$2:$D$88,(MATCH(B5,FLUENCIAS!$B$2:$D$2,0))+1,0)</f>
        <v>21.6</v>
      </c>
      <c r="R45" s="150">
        <f>VLOOKUP(B3,FLUENCIAS!$F$2:$I$88,(MATCH(B5,FLUENCIAS!$G$2:$I$2,0))+1,0)</f>
        <v>5.4</v>
      </c>
      <c r="S45" s="138"/>
      <c r="T45" s="136"/>
      <c r="U45" s="136"/>
      <c r="V45" s="136"/>
      <c r="W45" s="137"/>
    </row>
    <row r="46" spans="1:23" ht="15.75" customHeight="1" thickBot="1" x14ac:dyDescent="0.3">
      <c r="A46" s="214"/>
      <c r="B46" s="123" t="s">
        <v>30</v>
      </c>
      <c r="C46" s="119">
        <v>10</v>
      </c>
      <c r="D46" s="197">
        <f t="shared" si="8"/>
        <v>-0.86206896551724144</v>
      </c>
      <c r="E46" s="192" t="str">
        <f t="shared" si="9"/>
        <v/>
      </c>
      <c r="F46" s="192" t="str">
        <f t="shared" si="10"/>
        <v/>
      </c>
      <c r="G46" s="192" t="str">
        <f t="shared" si="11"/>
        <v/>
      </c>
      <c r="H46" s="192" t="str">
        <f t="shared" si="12"/>
        <v>X</v>
      </c>
      <c r="I46" s="192" t="str">
        <f t="shared" si="13"/>
        <v/>
      </c>
      <c r="J46" s="192" t="str">
        <f t="shared" si="14"/>
        <v/>
      </c>
      <c r="K46" s="192" t="str">
        <f t="shared" si="15"/>
        <v/>
      </c>
      <c r="L46" s="192" t="str">
        <f t="shared" si="16"/>
        <v/>
      </c>
      <c r="M46" s="107"/>
      <c r="N46" s="162"/>
      <c r="O46" s="107"/>
      <c r="P46" s="143"/>
      <c r="Q46" s="151">
        <f>VLOOKUP(B3,PRUEBAS!$Q$3:$S$89,2,FALSE)</f>
        <v>11</v>
      </c>
      <c r="R46" s="152">
        <f>VLOOKUP(B3,PRUEBAS!$Q$3:$S$89,3,FALSE)</f>
        <v>1.1599999999999999</v>
      </c>
      <c r="S46" s="138"/>
      <c r="T46" s="136"/>
      <c r="U46" s="136"/>
      <c r="V46" s="136"/>
      <c r="W46" s="137"/>
    </row>
    <row r="47" spans="1:23" s="105" customFormat="1" ht="15.75" customHeight="1" thickBot="1" x14ac:dyDescent="0.3">
      <c r="A47" s="214"/>
      <c r="B47" s="123" t="s">
        <v>129</v>
      </c>
      <c r="C47" s="119" t="s">
        <v>118</v>
      </c>
      <c r="D47" s="190"/>
      <c r="E47" s="190"/>
      <c r="F47" s="190"/>
      <c r="G47" s="190"/>
      <c r="H47" s="190"/>
      <c r="I47" s="190"/>
      <c r="J47" s="190"/>
      <c r="K47" s="190"/>
      <c r="L47" s="190"/>
      <c r="M47" s="107"/>
      <c r="N47" s="162"/>
      <c r="O47" s="107"/>
      <c r="P47" s="133"/>
      <c r="Q47" s="139"/>
      <c r="R47" s="139"/>
      <c r="S47" s="140"/>
      <c r="T47" s="141"/>
      <c r="U47" s="141"/>
      <c r="V47" s="141"/>
      <c r="W47" s="142"/>
    </row>
    <row r="48" spans="1:23" s="105" customFormat="1" ht="15.75" customHeight="1" thickBot="1" x14ac:dyDescent="0.3">
      <c r="A48" s="215"/>
      <c r="B48" s="124" t="s">
        <v>130</v>
      </c>
      <c r="C48" s="120" t="s">
        <v>118</v>
      </c>
      <c r="D48" s="191"/>
      <c r="E48" s="191"/>
      <c r="F48" s="191"/>
      <c r="G48" s="191"/>
      <c r="H48" s="191"/>
      <c r="I48" s="191"/>
      <c r="J48" s="191"/>
      <c r="K48" s="191"/>
      <c r="L48" s="191"/>
      <c r="M48" s="107"/>
      <c r="N48" s="162"/>
      <c r="O48" s="107"/>
      <c r="P48" s="107"/>
      <c r="Q48" s="111"/>
      <c r="R48" s="111"/>
      <c r="S48" s="107"/>
    </row>
    <row r="49" spans="1:19" ht="15.75" customHeight="1" x14ac:dyDescent="0.25">
      <c r="A49" s="213" t="s">
        <v>146</v>
      </c>
      <c r="B49" s="122" t="s">
        <v>114</v>
      </c>
      <c r="C49" s="121" t="s">
        <v>115</v>
      </c>
      <c r="D49" s="189"/>
      <c r="E49" s="189"/>
      <c r="F49" s="189"/>
      <c r="G49" s="189"/>
      <c r="H49" s="189"/>
      <c r="I49" s="189"/>
      <c r="J49" s="189"/>
      <c r="K49" s="189"/>
      <c r="L49" s="189"/>
      <c r="M49" s="107"/>
      <c r="N49" s="162"/>
      <c r="O49" s="107"/>
      <c r="P49" s="107"/>
      <c r="Q49" s="107"/>
      <c r="R49" s="107"/>
      <c r="S49" s="107"/>
    </row>
    <row r="50" spans="1:19" s="105" customFormat="1" ht="15.75" customHeight="1" thickBot="1" x14ac:dyDescent="0.3">
      <c r="A50" s="215"/>
      <c r="B50" s="124" t="s">
        <v>131</v>
      </c>
      <c r="C50" s="120" t="s">
        <v>118</v>
      </c>
      <c r="D50" s="191"/>
      <c r="E50" s="191"/>
      <c r="F50" s="191"/>
      <c r="G50" s="191"/>
      <c r="H50" s="191"/>
      <c r="I50" s="191"/>
      <c r="J50" s="191"/>
      <c r="K50" s="191"/>
      <c r="L50" s="191"/>
      <c r="M50" s="107"/>
      <c r="N50" s="162"/>
      <c r="O50" s="107"/>
      <c r="P50" s="107"/>
      <c r="Q50" s="107"/>
      <c r="R50" s="107"/>
      <c r="S50" s="107"/>
    </row>
    <row r="51" spans="1:19" s="105" customFormat="1" ht="15.75" customHeight="1" thickBot="1" x14ac:dyDescent="0.3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62"/>
      <c r="O51" s="107"/>
      <c r="P51" s="107"/>
      <c r="Q51" s="107"/>
      <c r="R51" s="107"/>
      <c r="S51" s="107"/>
    </row>
    <row r="52" spans="1:19" s="105" customFormat="1" ht="15.75" customHeight="1" thickBot="1" x14ac:dyDescent="0.3">
      <c r="A52" s="129" t="s">
        <v>150</v>
      </c>
      <c r="B52" s="130" t="s">
        <v>31</v>
      </c>
      <c r="C52" s="107"/>
      <c r="D52" s="107"/>
      <c r="E52" s="107"/>
      <c r="F52" s="107"/>
      <c r="G52" s="107"/>
      <c r="H52" s="158"/>
      <c r="I52" s="107"/>
      <c r="J52" s="107"/>
      <c r="K52" s="107"/>
      <c r="L52" s="107"/>
      <c r="M52" s="107"/>
      <c r="N52" s="162"/>
      <c r="O52" s="107"/>
      <c r="P52" s="107"/>
      <c r="Q52" s="107"/>
      <c r="R52" s="107"/>
      <c r="S52" s="107"/>
    </row>
    <row r="53" spans="1:19" s="105" customFormat="1" ht="15.75" customHeight="1" x14ac:dyDescent="0.25">
      <c r="A53" s="131" t="s">
        <v>151</v>
      </c>
      <c r="B53" s="208">
        <v>2</v>
      </c>
      <c r="C53" s="107"/>
      <c r="D53" s="107"/>
      <c r="E53" s="107"/>
      <c r="F53" s="107"/>
      <c r="G53" s="107"/>
      <c r="H53" s="158"/>
      <c r="I53" s="107"/>
      <c r="J53" s="107"/>
      <c r="K53" s="107"/>
      <c r="L53" s="107"/>
      <c r="M53" s="107"/>
      <c r="N53" s="162"/>
      <c r="O53" s="107"/>
      <c r="P53" s="107"/>
      <c r="Q53" s="107"/>
      <c r="R53" s="107"/>
      <c r="S53" s="107"/>
    </row>
    <row r="54" spans="1:19" s="105" customFormat="1" ht="15.75" customHeight="1" x14ac:dyDescent="0.25">
      <c r="A54" s="132" t="s">
        <v>152</v>
      </c>
      <c r="B54" s="209">
        <v>4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62"/>
      <c r="O54" s="107"/>
      <c r="P54" s="107"/>
      <c r="Q54" s="107"/>
      <c r="R54" s="107"/>
      <c r="S54" s="107"/>
    </row>
    <row r="55" spans="1:19" s="105" customFormat="1" ht="15.75" customHeight="1" x14ac:dyDescent="0.25">
      <c r="A55" s="132" t="s">
        <v>153</v>
      </c>
      <c r="B55" s="209">
        <v>1</v>
      </c>
      <c r="C55" s="107"/>
      <c r="D55" s="107"/>
      <c r="E55" s="107"/>
      <c r="F55" s="107"/>
      <c r="G55" s="107"/>
      <c r="H55" s="107"/>
      <c r="I55" s="107"/>
      <c r="J55" s="107"/>
      <c r="K55" s="158"/>
      <c r="L55" s="107"/>
      <c r="M55" s="107"/>
      <c r="N55" s="162"/>
      <c r="O55" s="107"/>
      <c r="P55" s="107"/>
      <c r="Q55" s="158"/>
      <c r="R55" s="107"/>
      <c r="S55" s="107"/>
    </row>
    <row r="56" spans="1:19" s="105" customFormat="1" ht="15.75" customHeight="1" x14ac:dyDescent="0.25">
      <c r="A56" s="132" t="s">
        <v>154</v>
      </c>
      <c r="B56" s="209">
        <v>1</v>
      </c>
      <c r="C56" s="107"/>
      <c r="D56" s="107"/>
      <c r="E56" s="107"/>
      <c r="F56" s="107"/>
      <c r="G56" s="107"/>
      <c r="H56" s="107"/>
      <c r="I56" s="158"/>
      <c r="J56" s="107"/>
      <c r="K56" s="107"/>
      <c r="L56" s="107"/>
      <c r="M56" s="107"/>
      <c r="N56" s="162"/>
      <c r="O56" s="107"/>
      <c r="P56" s="107"/>
      <c r="Q56" s="107"/>
      <c r="R56" s="107"/>
      <c r="S56" s="107"/>
    </row>
    <row r="57" spans="1:19" s="105" customFormat="1" ht="15.75" customHeight="1" x14ac:dyDescent="0.25">
      <c r="A57" s="132" t="s">
        <v>155</v>
      </c>
      <c r="B57" s="209">
        <v>2</v>
      </c>
      <c r="C57" s="107"/>
      <c r="D57" s="107"/>
      <c r="E57" s="107"/>
      <c r="F57" s="107"/>
      <c r="G57" s="107"/>
      <c r="H57" s="158"/>
      <c r="I57" s="107"/>
      <c r="J57" s="107"/>
      <c r="K57" s="107"/>
      <c r="L57" s="107"/>
      <c r="M57" s="107"/>
      <c r="N57" s="162"/>
      <c r="O57" s="107"/>
      <c r="P57" s="107"/>
      <c r="Q57" s="107"/>
      <c r="R57" s="107"/>
      <c r="S57" s="107"/>
    </row>
    <row r="58" spans="1:19" s="105" customFormat="1" ht="15.75" customHeight="1" x14ac:dyDescent="0.25">
      <c r="A58" s="132" t="s">
        <v>156</v>
      </c>
      <c r="B58" s="209">
        <v>1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62"/>
      <c r="O58" s="107"/>
      <c r="P58" s="107"/>
      <c r="Q58" s="107"/>
      <c r="R58" s="107"/>
      <c r="S58" s="107"/>
    </row>
    <row r="59" spans="1:19" s="105" customFormat="1" ht="15.75" customHeight="1" x14ac:dyDescent="0.25">
      <c r="A59" s="132" t="s">
        <v>157</v>
      </c>
      <c r="B59" s="209">
        <v>1</v>
      </c>
      <c r="C59" s="107"/>
      <c r="D59" s="107"/>
      <c r="E59" s="107"/>
      <c r="F59" s="158"/>
      <c r="G59" s="107"/>
      <c r="H59" s="107"/>
      <c r="I59" s="107"/>
      <c r="J59" s="107"/>
      <c r="K59" s="107"/>
      <c r="L59" s="107"/>
      <c r="M59" s="107"/>
      <c r="N59" s="162"/>
      <c r="O59" s="107"/>
      <c r="P59" s="107"/>
      <c r="Q59" s="107"/>
      <c r="R59" s="107"/>
      <c r="S59" s="107"/>
    </row>
    <row r="60" spans="1:19" s="105" customFormat="1" ht="15.75" customHeight="1" x14ac:dyDescent="0.25">
      <c r="A60" s="132" t="s">
        <v>158</v>
      </c>
      <c r="B60" s="209">
        <v>1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62"/>
      <c r="O60" s="107"/>
      <c r="P60" s="107"/>
      <c r="Q60" s="107"/>
      <c r="R60" s="107"/>
      <c r="S60" s="107"/>
    </row>
    <row r="61" spans="1:19" s="105" customFormat="1" ht="15.75" customHeight="1" x14ac:dyDescent="0.25">
      <c r="A61" s="132" t="s">
        <v>159</v>
      </c>
      <c r="B61" s="209">
        <v>1</v>
      </c>
      <c r="C61" s="107"/>
      <c r="D61" s="107"/>
      <c r="E61" s="107"/>
      <c r="F61" s="158"/>
      <c r="G61" s="107"/>
      <c r="H61" s="107"/>
      <c r="I61" s="107"/>
      <c r="J61" s="107"/>
      <c r="K61" s="107"/>
      <c r="L61" s="107"/>
      <c r="M61" s="107"/>
      <c r="N61" s="162"/>
      <c r="O61" s="107"/>
      <c r="P61" s="107"/>
      <c r="Q61" s="107"/>
      <c r="R61" s="107"/>
      <c r="S61" s="107"/>
    </row>
    <row r="62" spans="1:19" s="105" customFormat="1" ht="15.75" customHeight="1" thickBot="1" x14ac:dyDescent="0.3">
      <c r="A62" s="134" t="s">
        <v>160</v>
      </c>
      <c r="B62" s="210">
        <v>1</v>
      </c>
      <c r="C62" s="107"/>
      <c r="D62" s="107"/>
      <c r="E62" s="107"/>
      <c r="F62" s="158"/>
      <c r="G62" s="107"/>
      <c r="H62" s="107"/>
      <c r="I62" s="107"/>
      <c r="J62" s="107"/>
      <c r="K62" s="107"/>
      <c r="L62" s="107"/>
      <c r="M62" s="107"/>
      <c r="N62" s="162"/>
      <c r="O62" s="107"/>
      <c r="P62" s="107"/>
      <c r="Q62" s="107"/>
      <c r="R62" s="107"/>
      <c r="S62" s="107"/>
    </row>
    <row r="63" spans="1:19" s="106" customFormat="1" ht="15.75" customHeight="1" thickBot="1" x14ac:dyDescent="0.3">
      <c r="A63" s="173" t="s">
        <v>167</v>
      </c>
      <c r="B63" s="174">
        <f>SUM(B53:B62)</f>
        <v>15</v>
      </c>
      <c r="C63" s="195" t="s">
        <v>191</v>
      </c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62"/>
      <c r="O63" s="107"/>
      <c r="P63" s="107"/>
      <c r="Q63" s="107"/>
      <c r="R63" s="107"/>
      <c r="S63" s="107"/>
    </row>
    <row r="64" spans="1:19" s="106" customFormat="1" ht="15.75" customHeight="1" thickBot="1" x14ac:dyDescent="0.3">
      <c r="A64" s="107"/>
      <c r="B64" s="107"/>
      <c r="C64" s="107"/>
      <c r="D64" s="107"/>
      <c r="E64" s="107"/>
      <c r="F64" s="107"/>
      <c r="G64" s="158"/>
      <c r="H64" s="107"/>
      <c r="I64" s="107"/>
      <c r="J64" s="107"/>
      <c r="K64" s="107"/>
      <c r="L64" s="107"/>
      <c r="M64" s="107"/>
      <c r="N64" s="162"/>
      <c r="O64" s="107"/>
      <c r="P64" s="107"/>
      <c r="Q64" s="107"/>
      <c r="R64" s="107"/>
      <c r="S64" s="107"/>
    </row>
    <row r="65" spans="1:19" s="105" customFormat="1" ht="15.75" customHeight="1" thickBot="1" x14ac:dyDescent="0.3">
      <c r="A65" s="176" t="s">
        <v>166</v>
      </c>
      <c r="B65" s="177">
        <v>2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62"/>
      <c r="O65" s="107"/>
      <c r="P65" s="107"/>
      <c r="Q65" s="107"/>
      <c r="R65" s="107"/>
      <c r="S65" s="107"/>
    </row>
    <row r="66" spans="1:19" s="106" customFormat="1" ht="15.75" customHeight="1" thickBot="1" x14ac:dyDescent="0.3">
      <c r="A66" s="171"/>
      <c r="B66" s="172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62"/>
      <c r="O66" s="107"/>
      <c r="P66" s="107"/>
      <c r="Q66" s="107"/>
      <c r="R66" s="107"/>
      <c r="S66" s="107"/>
    </row>
    <row r="67" spans="1:19" s="104" customFormat="1" ht="15.75" customHeight="1" thickBot="1" x14ac:dyDescent="0.3">
      <c r="A67" s="219" t="s">
        <v>135</v>
      </c>
      <c r="B67" s="220"/>
      <c r="C67" s="220"/>
      <c r="D67" s="220"/>
      <c r="E67" s="220"/>
      <c r="F67" s="220"/>
      <c r="G67" s="221"/>
      <c r="H67" s="185"/>
      <c r="I67" s="185"/>
      <c r="J67" s="185"/>
      <c r="K67" s="185"/>
      <c r="L67" s="185"/>
      <c r="M67" s="185"/>
      <c r="N67" s="162"/>
      <c r="O67" s="107"/>
      <c r="P67" s="107"/>
      <c r="Q67" s="107"/>
      <c r="R67" s="107"/>
      <c r="S67" s="107"/>
    </row>
    <row r="68" spans="1:19" ht="15.75" customHeight="1" x14ac:dyDescent="0.25">
      <c r="A68" s="217" t="s">
        <v>136</v>
      </c>
      <c r="B68" s="217"/>
      <c r="C68" s="217"/>
      <c r="D68" s="217"/>
      <c r="E68" s="217"/>
      <c r="F68" s="217"/>
      <c r="G68" s="217"/>
      <c r="H68" s="160"/>
      <c r="I68" s="160"/>
      <c r="J68" s="160"/>
      <c r="K68" s="160"/>
      <c r="L68" s="160"/>
      <c r="M68" s="160"/>
      <c r="N68" s="164"/>
      <c r="O68" s="107"/>
      <c r="P68" s="107"/>
      <c r="Q68" s="107"/>
      <c r="R68" s="107"/>
      <c r="S68" s="107"/>
    </row>
    <row r="69" spans="1:19" ht="15.75" customHeight="1" x14ac:dyDescent="0.25">
      <c r="A69" s="216" t="s">
        <v>137</v>
      </c>
      <c r="B69" s="216"/>
      <c r="C69" s="216"/>
      <c r="D69" s="216"/>
      <c r="E69" s="216"/>
      <c r="F69" s="216"/>
      <c r="G69" s="216"/>
      <c r="H69" s="182"/>
      <c r="I69" s="182"/>
      <c r="J69" s="182"/>
      <c r="K69" s="182"/>
      <c r="L69" s="182"/>
      <c r="M69" s="182"/>
      <c r="N69" s="165"/>
      <c r="O69" s="107"/>
      <c r="P69" s="107"/>
      <c r="Q69" s="107"/>
      <c r="R69" s="107"/>
      <c r="S69" s="107"/>
    </row>
    <row r="70" spans="1:19" ht="15.75" customHeight="1" x14ac:dyDescent="0.25">
      <c r="A70" s="216" t="s">
        <v>138</v>
      </c>
      <c r="B70" s="216"/>
      <c r="C70" s="216"/>
      <c r="D70" s="216"/>
      <c r="E70" s="216"/>
      <c r="F70" s="216"/>
      <c r="G70" s="216"/>
      <c r="H70" s="182"/>
      <c r="I70" s="182"/>
      <c r="J70" s="182"/>
      <c r="K70" s="182"/>
      <c r="L70" s="182"/>
      <c r="M70" s="182"/>
      <c r="N70" s="165"/>
      <c r="O70" s="107"/>
      <c r="P70" s="107"/>
      <c r="Q70" s="107"/>
      <c r="R70" s="107"/>
      <c r="S70" s="107"/>
    </row>
    <row r="71" spans="1:19" ht="34.5" customHeight="1" x14ac:dyDescent="0.25">
      <c r="A71" s="218" t="s">
        <v>139</v>
      </c>
      <c r="B71" s="218"/>
      <c r="C71" s="218"/>
      <c r="D71" s="218"/>
      <c r="E71" s="218"/>
      <c r="F71" s="218"/>
      <c r="G71" s="218"/>
      <c r="H71" s="183"/>
      <c r="I71" s="211"/>
      <c r="J71" s="183"/>
      <c r="K71" s="183"/>
      <c r="L71" s="183"/>
      <c r="M71" s="183"/>
      <c r="N71" s="164"/>
      <c r="O71" s="107"/>
      <c r="P71" s="107"/>
      <c r="Q71" s="107"/>
      <c r="R71" s="107"/>
      <c r="S71" s="107"/>
    </row>
    <row r="72" spans="1:19" ht="15.75" customHeight="1" x14ac:dyDescent="0.25">
      <c r="A72" s="216" t="s">
        <v>140</v>
      </c>
      <c r="B72" s="216"/>
      <c r="C72" s="216"/>
      <c r="D72" s="216"/>
      <c r="E72" s="216"/>
      <c r="F72" s="216"/>
      <c r="G72" s="216"/>
      <c r="H72" s="182"/>
      <c r="I72" s="182"/>
      <c r="J72" s="182"/>
      <c r="K72" s="182"/>
      <c r="L72" s="182"/>
      <c r="M72" s="182"/>
      <c r="N72" s="165"/>
      <c r="O72" s="107"/>
      <c r="P72" s="107"/>
      <c r="Q72" s="107"/>
      <c r="R72" s="107"/>
      <c r="S72" s="107"/>
    </row>
    <row r="73" spans="1:19" ht="15.75" customHeight="1" x14ac:dyDescent="0.25">
      <c r="A73" s="216" t="s">
        <v>141</v>
      </c>
      <c r="B73" s="216"/>
      <c r="C73" s="216"/>
      <c r="D73" s="216"/>
      <c r="E73" s="216"/>
      <c r="F73" s="216"/>
      <c r="G73" s="216"/>
      <c r="H73" s="182"/>
      <c r="I73" s="182"/>
      <c r="J73" s="182"/>
      <c r="K73" s="182"/>
      <c r="L73" s="182"/>
      <c r="M73" s="182"/>
      <c r="N73" s="165"/>
      <c r="O73" s="107"/>
      <c r="P73" s="107"/>
      <c r="Q73" s="107"/>
      <c r="R73" s="107"/>
      <c r="S73" s="107"/>
    </row>
    <row r="74" spans="1:19" ht="45" customHeight="1" x14ac:dyDescent="0.25">
      <c r="A74" s="218" t="s">
        <v>142</v>
      </c>
      <c r="B74" s="218"/>
      <c r="C74" s="218"/>
      <c r="D74" s="218"/>
      <c r="E74" s="218"/>
      <c r="F74" s="218"/>
      <c r="G74" s="218"/>
      <c r="H74" s="183"/>
      <c r="I74" s="183"/>
      <c r="J74" s="183"/>
      <c r="K74" s="183"/>
      <c r="L74" s="183"/>
      <c r="M74" s="183"/>
      <c r="N74" s="164"/>
      <c r="O74" s="107"/>
      <c r="P74" s="107"/>
      <c r="Q74" s="107"/>
      <c r="R74" s="107"/>
      <c r="S74" s="107"/>
    </row>
    <row r="75" spans="1:19" ht="15.75" customHeight="1" x14ac:dyDescent="0.25">
      <c r="A75" s="216" t="s">
        <v>143</v>
      </c>
      <c r="B75" s="216"/>
      <c r="C75" s="216"/>
      <c r="D75" s="216"/>
      <c r="E75" s="216"/>
      <c r="F75" s="216"/>
      <c r="G75" s="216"/>
      <c r="H75" s="182"/>
      <c r="I75" s="182"/>
      <c r="J75" s="182"/>
      <c r="K75" s="182"/>
      <c r="L75" s="182"/>
      <c r="M75" s="182"/>
      <c r="N75" s="165"/>
      <c r="O75" s="107"/>
      <c r="P75" s="107"/>
      <c r="Q75" s="107"/>
      <c r="R75" s="107"/>
      <c r="S75" s="107"/>
    </row>
    <row r="76" spans="1:19" ht="15.75" customHeight="1" x14ac:dyDescent="0.25">
      <c r="A76" s="216" t="s">
        <v>144</v>
      </c>
      <c r="B76" s="216"/>
      <c r="C76" s="216"/>
      <c r="D76" s="216"/>
      <c r="E76" s="216"/>
      <c r="F76" s="216"/>
      <c r="G76" s="216"/>
      <c r="H76" s="182"/>
      <c r="I76" s="182"/>
      <c r="J76" s="182"/>
      <c r="K76" s="182"/>
      <c r="L76" s="182"/>
      <c r="M76" s="182"/>
      <c r="N76" s="165"/>
      <c r="O76" s="107"/>
      <c r="P76" s="107"/>
      <c r="Q76" s="107"/>
      <c r="R76" s="107"/>
      <c r="S76" s="107"/>
    </row>
    <row r="77" spans="1:19" ht="15.75" customHeight="1" x14ac:dyDescent="0.25">
      <c r="A77" s="212"/>
      <c r="B77" s="212"/>
      <c r="C77" s="212"/>
      <c r="D77" s="212"/>
      <c r="E77" s="212"/>
      <c r="F77" s="212"/>
      <c r="G77" s="212"/>
      <c r="H77" s="181"/>
      <c r="I77" s="181"/>
      <c r="J77" s="181"/>
      <c r="K77" s="181"/>
      <c r="L77" s="181"/>
      <c r="M77" s="181"/>
      <c r="N77" s="166"/>
      <c r="O77" s="107"/>
      <c r="P77" s="107"/>
      <c r="Q77" s="107"/>
      <c r="R77" s="107"/>
      <c r="S77" s="107"/>
    </row>
    <row r="78" spans="1:19" ht="15.75" customHeight="1" x14ac:dyDescent="0.25">
      <c r="A78" s="212"/>
      <c r="B78" s="212"/>
      <c r="C78" s="212"/>
      <c r="D78" s="212"/>
      <c r="E78" s="212"/>
      <c r="F78" s="212"/>
      <c r="G78" s="212"/>
      <c r="H78" s="181"/>
      <c r="I78" s="181"/>
      <c r="J78" s="181"/>
      <c r="K78" s="181"/>
      <c r="L78" s="181"/>
      <c r="M78" s="181"/>
      <c r="N78" s="166"/>
      <c r="O78" s="107"/>
      <c r="P78" s="107"/>
      <c r="Q78" s="107"/>
      <c r="R78" s="107"/>
      <c r="S78" s="107"/>
    </row>
    <row r="79" spans="1:19" ht="15.75" customHeight="1" x14ac:dyDescent="0.25">
      <c r="A79" s="212"/>
      <c r="B79" s="212"/>
      <c r="C79" s="212"/>
      <c r="D79" s="212"/>
      <c r="E79" s="212"/>
      <c r="F79" s="212"/>
      <c r="G79" s="212"/>
      <c r="H79" s="181"/>
      <c r="I79" s="181"/>
      <c r="J79" s="181"/>
      <c r="K79" s="181"/>
      <c r="L79" s="181"/>
      <c r="M79" s="181"/>
      <c r="N79" s="166"/>
      <c r="O79" s="107"/>
      <c r="P79" s="107"/>
      <c r="Q79" s="107"/>
      <c r="R79" s="107"/>
      <c r="S79" s="107"/>
    </row>
    <row r="80" spans="1:19" ht="15.75" customHeight="1" x14ac:dyDescent="0.25">
      <c r="A80" s="212"/>
      <c r="B80" s="212"/>
      <c r="C80" s="212"/>
      <c r="D80" s="212"/>
      <c r="E80" s="212"/>
      <c r="F80" s="212"/>
      <c r="G80" s="212"/>
      <c r="H80" s="181"/>
      <c r="I80" s="181"/>
      <c r="J80" s="181"/>
      <c r="K80" s="181"/>
      <c r="L80" s="181"/>
      <c r="M80" s="181"/>
      <c r="N80" s="166"/>
      <c r="O80" s="107"/>
      <c r="P80" s="107"/>
      <c r="Q80" s="107"/>
      <c r="R80" s="107"/>
      <c r="S80" s="107"/>
    </row>
    <row r="81" spans="1:19" ht="15.75" customHeight="1" x14ac:dyDescent="0.25">
      <c r="A81" s="212"/>
      <c r="B81" s="212"/>
      <c r="C81" s="212"/>
      <c r="D81" s="212"/>
      <c r="E81" s="212"/>
      <c r="F81" s="212"/>
      <c r="G81" s="212"/>
      <c r="H81" s="181"/>
      <c r="I81" s="181"/>
      <c r="J81" s="181"/>
      <c r="K81" s="181"/>
      <c r="L81" s="181"/>
      <c r="M81" s="181"/>
      <c r="N81" s="166"/>
      <c r="O81" s="107"/>
      <c r="P81" s="107"/>
      <c r="Q81" s="107"/>
      <c r="R81" s="107"/>
      <c r="S81" s="107"/>
    </row>
    <row r="82" spans="1:19" ht="15.75" customHeight="1" x14ac:dyDescent="0.25">
      <c r="A82" s="212"/>
      <c r="B82" s="212"/>
      <c r="C82" s="212"/>
      <c r="D82" s="212"/>
      <c r="E82" s="212"/>
      <c r="F82" s="212"/>
      <c r="G82" s="212"/>
      <c r="H82" s="181"/>
      <c r="I82" s="181"/>
      <c r="J82" s="181"/>
      <c r="K82" s="181"/>
      <c r="L82" s="181"/>
      <c r="M82" s="181"/>
      <c r="N82" s="166"/>
      <c r="O82" s="107"/>
      <c r="P82" s="107"/>
      <c r="Q82" s="107"/>
      <c r="R82" s="107"/>
      <c r="S82" s="107"/>
    </row>
    <row r="83" spans="1:19" ht="15.75" customHeight="1" x14ac:dyDescent="0.25">
      <c r="A83" s="212"/>
      <c r="B83" s="212"/>
      <c r="C83" s="212"/>
      <c r="D83" s="212"/>
      <c r="E83" s="212"/>
      <c r="F83" s="212"/>
      <c r="G83" s="212"/>
      <c r="H83" s="181"/>
      <c r="I83" s="181"/>
      <c r="J83" s="181"/>
      <c r="K83" s="181"/>
      <c r="L83" s="181"/>
      <c r="M83" s="181"/>
      <c r="N83" s="166"/>
      <c r="O83" s="107"/>
      <c r="P83" s="107"/>
      <c r="Q83" s="107"/>
      <c r="R83" s="107"/>
      <c r="S83" s="107"/>
    </row>
    <row r="84" spans="1:19" ht="15.75" customHeight="1" x14ac:dyDescent="0.25">
      <c r="A84" s="212"/>
      <c r="B84" s="212"/>
      <c r="C84" s="212"/>
      <c r="D84" s="212"/>
      <c r="E84" s="212"/>
      <c r="F84" s="212"/>
      <c r="G84" s="212"/>
      <c r="H84" s="181"/>
      <c r="I84" s="181"/>
      <c r="J84" s="181"/>
      <c r="K84" s="181"/>
      <c r="L84" s="181"/>
      <c r="M84" s="181"/>
      <c r="N84" s="166"/>
      <c r="O84" s="107"/>
      <c r="P84" s="107"/>
      <c r="Q84" s="107"/>
      <c r="R84" s="107"/>
      <c r="S84" s="107"/>
    </row>
    <row r="85" spans="1:19" ht="15.75" customHeight="1" x14ac:dyDescent="0.25">
      <c r="A85" s="212"/>
      <c r="B85" s="212"/>
      <c r="C85" s="212"/>
      <c r="D85" s="212"/>
      <c r="E85" s="212"/>
      <c r="F85" s="212"/>
      <c r="G85" s="212"/>
      <c r="H85" s="181"/>
      <c r="I85" s="181"/>
      <c r="J85" s="181"/>
      <c r="K85" s="181"/>
      <c r="L85" s="181"/>
      <c r="M85" s="181"/>
      <c r="N85" s="166"/>
      <c r="O85" s="107"/>
      <c r="P85" s="107"/>
      <c r="Q85" s="107"/>
      <c r="R85" s="107"/>
      <c r="S85" s="107"/>
    </row>
    <row r="86" spans="1:19" ht="15.75" customHeight="1" x14ac:dyDescent="0.25">
      <c r="A86" s="212"/>
      <c r="B86" s="212"/>
      <c r="C86" s="212"/>
      <c r="D86" s="212"/>
      <c r="E86" s="212"/>
      <c r="F86" s="212"/>
      <c r="G86" s="212"/>
      <c r="H86" s="181"/>
      <c r="I86" s="181"/>
      <c r="J86" s="181"/>
      <c r="K86" s="181"/>
      <c r="L86" s="181"/>
      <c r="M86" s="181"/>
      <c r="N86" s="166"/>
      <c r="O86" s="107"/>
      <c r="P86" s="107"/>
      <c r="Q86" s="107"/>
      <c r="R86" s="107"/>
      <c r="S86" s="107"/>
    </row>
    <row r="87" spans="1:19" ht="15.75" customHeight="1" x14ac:dyDescent="0.25">
      <c r="A87" s="212"/>
      <c r="B87" s="212"/>
      <c r="C87" s="212"/>
      <c r="D87" s="212"/>
      <c r="E87" s="212"/>
      <c r="F87" s="212"/>
      <c r="G87" s="212"/>
      <c r="H87" s="181"/>
      <c r="I87" s="181"/>
      <c r="J87" s="181"/>
      <c r="K87" s="181"/>
      <c r="L87" s="181"/>
      <c r="M87" s="181"/>
      <c r="N87" s="166"/>
      <c r="O87" s="107"/>
      <c r="P87" s="107"/>
      <c r="Q87" s="107"/>
      <c r="R87" s="107"/>
      <c r="S87" s="107"/>
    </row>
    <row r="88" spans="1:19" ht="15.75" customHeight="1" x14ac:dyDescent="0.25">
      <c r="A88" s="212"/>
      <c r="B88" s="212"/>
      <c r="C88" s="212"/>
      <c r="D88" s="212"/>
      <c r="E88" s="212"/>
      <c r="F88" s="212"/>
      <c r="G88" s="212"/>
      <c r="H88" s="181"/>
      <c r="I88" s="181"/>
      <c r="J88" s="181"/>
      <c r="K88" s="181"/>
      <c r="L88" s="181"/>
      <c r="M88" s="181"/>
      <c r="N88" s="166"/>
      <c r="O88" s="107"/>
      <c r="P88" s="107"/>
      <c r="Q88" s="107"/>
      <c r="R88" s="107"/>
      <c r="S88" s="107"/>
    </row>
    <row r="89" spans="1:19" ht="15.75" customHeight="1" x14ac:dyDescent="0.25">
      <c r="A89" s="212"/>
      <c r="B89" s="212"/>
      <c r="C89" s="212"/>
      <c r="D89" s="212"/>
      <c r="E89" s="212"/>
      <c r="F89" s="212"/>
      <c r="G89" s="212"/>
      <c r="H89" s="181"/>
      <c r="I89" s="181"/>
      <c r="J89" s="181"/>
      <c r="K89" s="181"/>
      <c r="L89" s="181"/>
      <c r="M89" s="181"/>
      <c r="N89" s="166"/>
      <c r="O89" s="107"/>
      <c r="P89" s="107"/>
      <c r="Q89" s="107"/>
      <c r="R89" s="107"/>
      <c r="S89" s="107"/>
    </row>
    <row r="90" spans="1:19" ht="15.75" customHeight="1" x14ac:dyDescent="0.25">
      <c r="A90" s="212"/>
      <c r="B90" s="212"/>
      <c r="C90" s="212"/>
      <c r="D90" s="212"/>
      <c r="E90" s="212"/>
      <c r="F90" s="212"/>
      <c r="G90" s="212"/>
      <c r="H90" s="181"/>
      <c r="I90" s="181"/>
      <c r="J90" s="181"/>
      <c r="K90" s="181"/>
      <c r="L90" s="181"/>
      <c r="M90" s="181"/>
      <c r="N90" s="166"/>
      <c r="O90" s="107"/>
      <c r="P90" s="107"/>
      <c r="Q90" s="107"/>
      <c r="R90" s="107"/>
      <c r="S90" s="107"/>
    </row>
    <row r="91" spans="1:19" ht="15.75" customHeight="1" x14ac:dyDescent="0.25">
      <c r="A91" s="212"/>
      <c r="B91" s="212"/>
      <c r="C91" s="212"/>
      <c r="D91" s="212"/>
      <c r="E91" s="212"/>
      <c r="F91" s="212"/>
      <c r="G91" s="212"/>
      <c r="H91" s="181"/>
      <c r="I91" s="181"/>
      <c r="J91" s="181"/>
      <c r="K91" s="181"/>
      <c r="L91" s="181"/>
      <c r="M91" s="181"/>
      <c r="N91" s="166"/>
      <c r="O91" s="107"/>
      <c r="P91" s="107"/>
      <c r="Q91" s="107"/>
      <c r="R91" s="107"/>
      <c r="S91" s="107"/>
    </row>
    <row r="92" spans="1:19" ht="15.75" customHeight="1" thickBot="1" x14ac:dyDescent="0.3">
      <c r="A92" s="212"/>
      <c r="B92" s="212"/>
      <c r="C92" s="212"/>
      <c r="D92" s="212"/>
      <c r="E92" s="212"/>
      <c r="F92" s="212"/>
      <c r="G92" s="212"/>
      <c r="H92" s="181"/>
      <c r="I92" s="181"/>
      <c r="J92" s="181"/>
      <c r="K92" s="181"/>
      <c r="L92" s="181"/>
      <c r="M92" s="181"/>
      <c r="N92" s="167"/>
      <c r="O92" s="107"/>
      <c r="P92" s="107"/>
      <c r="Q92" s="107"/>
      <c r="R92" s="107"/>
      <c r="S92" s="107"/>
    </row>
    <row r="93" spans="1:19" ht="15.75" customHeight="1" x14ac:dyDescent="0.25">
      <c r="A93" s="107"/>
      <c r="B93" s="107"/>
      <c r="C93" s="107"/>
      <c r="D93" s="112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</row>
    <row r="94" spans="1:19" ht="15.75" customHeight="1" x14ac:dyDescent="0.25">
      <c r="A94" s="107"/>
      <c r="B94" s="107"/>
      <c r="C94" s="107"/>
      <c r="D94" s="112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</row>
    <row r="95" spans="1:19" ht="15.75" customHeight="1" x14ac:dyDescent="0.25">
      <c r="A95" s="107"/>
      <c r="B95" s="107"/>
      <c r="C95" s="107"/>
      <c r="D95" s="112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</row>
    <row r="96" spans="1:19" ht="15.75" customHeight="1" x14ac:dyDescent="0.25">
      <c r="A96" s="107"/>
      <c r="B96" s="107"/>
      <c r="C96" s="107"/>
      <c r="D96" s="112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</row>
    <row r="97" spans="1:19" ht="15.75" customHeight="1" x14ac:dyDescent="0.25">
      <c r="A97" s="107"/>
      <c r="B97" s="107"/>
      <c r="C97" s="107"/>
      <c r="D97" s="112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</row>
    <row r="98" spans="1:19" ht="15.75" customHeight="1" x14ac:dyDescent="0.25">
      <c r="A98" s="107"/>
      <c r="B98" s="107"/>
      <c r="C98" s="107"/>
      <c r="D98" s="112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</row>
    <row r="99" spans="1:19" ht="15.75" customHeight="1" x14ac:dyDescent="0.25">
      <c r="A99" s="107"/>
      <c r="B99" s="107"/>
      <c r="C99" s="107"/>
      <c r="D99" s="112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</row>
    <row r="100" spans="1:19" ht="15.75" customHeight="1" x14ac:dyDescent="0.25">
      <c r="A100" s="107"/>
      <c r="B100" s="107"/>
      <c r="C100" s="107"/>
      <c r="D100" s="112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</row>
    <row r="101" spans="1:19" ht="15.75" customHeight="1" x14ac:dyDescent="0.25">
      <c r="D101" s="38"/>
    </row>
    <row r="102" spans="1:19" ht="15.75" customHeight="1" x14ac:dyDescent="0.25">
      <c r="D102" s="38"/>
    </row>
    <row r="103" spans="1:19" ht="15.75" customHeight="1" x14ac:dyDescent="0.25">
      <c r="D103" s="38"/>
    </row>
    <row r="104" spans="1:19" ht="15.75" customHeight="1" x14ac:dyDescent="0.25">
      <c r="D104" s="38"/>
    </row>
    <row r="105" spans="1:19" ht="15.75" customHeight="1" x14ac:dyDescent="0.25">
      <c r="D105" s="38"/>
    </row>
    <row r="106" spans="1:19" ht="15.75" customHeight="1" x14ac:dyDescent="0.25">
      <c r="D106" s="38"/>
    </row>
    <row r="107" spans="1:19" ht="15.75" customHeight="1" x14ac:dyDescent="0.25">
      <c r="D107" s="38"/>
    </row>
    <row r="108" spans="1:19" ht="15.75" customHeight="1" x14ac:dyDescent="0.25">
      <c r="D108" s="38"/>
    </row>
    <row r="109" spans="1:19" ht="15.75" customHeight="1" x14ac:dyDescent="0.25">
      <c r="D109" s="38"/>
    </row>
    <row r="110" spans="1:19" ht="15.75" customHeight="1" x14ac:dyDescent="0.25">
      <c r="D110" s="38"/>
    </row>
    <row r="111" spans="1:19" ht="15.75" customHeight="1" x14ac:dyDescent="0.25">
      <c r="D111" s="38"/>
    </row>
    <row r="112" spans="1:19" ht="15.75" customHeight="1" x14ac:dyDescent="0.25">
      <c r="D112" s="38"/>
    </row>
    <row r="113" spans="4:4" ht="15.75" customHeight="1" x14ac:dyDescent="0.25">
      <c r="D113" s="38"/>
    </row>
    <row r="114" spans="4:4" ht="15.75" customHeight="1" x14ac:dyDescent="0.25">
      <c r="D114" s="38"/>
    </row>
    <row r="115" spans="4:4" ht="15.75" customHeight="1" x14ac:dyDescent="0.25">
      <c r="D115" s="38"/>
    </row>
    <row r="116" spans="4:4" ht="15.75" customHeight="1" x14ac:dyDescent="0.25">
      <c r="D116" s="38"/>
    </row>
    <row r="117" spans="4:4" ht="15.75" customHeight="1" x14ac:dyDescent="0.25">
      <c r="D117" s="38"/>
    </row>
    <row r="118" spans="4:4" ht="15.75" customHeight="1" x14ac:dyDescent="0.25">
      <c r="D118" s="38"/>
    </row>
    <row r="119" spans="4:4" ht="15.75" customHeight="1" x14ac:dyDescent="0.25">
      <c r="D119" s="38"/>
    </row>
    <row r="120" spans="4:4" ht="15.75" customHeight="1" x14ac:dyDescent="0.25">
      <c r="D120" s="38"/>
    </row>
    <row r="121" spans="4:4" ht="15.75" customHeight="1" x14ac:dyDescent="0.25">
      <c r="D121" s="38"/>
    </row>
    <row r="122" spans="4:4" ht="15.75" customHeight="1" x14ac:dyDescent="0.25">
      <c r="D122" s="38"/>
    </row>
    <row r="123" spans="4:4" ht="15.75" customHeight="1" x14ac:dyDescent="0.25">
      <c r="D123" s="38"/>
    </row>
    <row r="124" spans="4:4" ht="15.75" customHeight="1" x14ac:dyDescent="0.25">
      <c r="D124" s="38"/>
    </row>
    <row r="125" spans="4:4" ht="15.75" customHeight="1" x14ac:dyDescent="0.25">
      <c r="D125" s="38"/>
    </row>
    <row r="126" spans="4:4" ht="15.75" customHeight="1" x14ac:dyDescent="0.25">
      <c r="D126" s="38"/>
    </row>
    <row r="127" spans="4:4" ht="15.75" customHeight="1" x14ac:dyDescent="0.25">
      <c r="D127" s="38"/>
    </row>
    <row r="128" spans="4:4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  <row r="1020" spans="4:4" ht="15.75" customHeight="1" x14ac:dyDescent="0.25">
      <c r="D1020" s="38"/>
    </row>
    <row r="1021" spans="4:4" ht="15.75" customHeight="1" x14ac:dyDescent="0.25">
      <c r="D1021" s="38"/>
    </row>
    <row r="1022" spans="4:4" ht="15.75" customHeight="1" x14ac:dyDescent="0.25">
      <c r="D1022" s="38"/>
    </row>
    <row r="1023" spans="4:4" ht="15.75" customHeight="1" x14ac:dyDescent="0.25">
      <c r="D1023" s="38"/>
    </row>
    <row r="1024" spans="4:4" ht="15.75" customHeight="1" x14ac:dyDescent="0.25">
      <c r="D1024" s="38"/>
    </row>
    <row r="1025" spans="4:4" ht="15.75" customHeight="1" x14ac:dyDescent="0.25">
      <c r="D1025" s="38"/>
    </row>
    <row r="1026" spans="4:4" ht="15.75" customHeight="1" x14ac:dyDescent="0.25">
      <c r="D1026" s="38"/>
    </row>
    <row r="1027" spans="4:4" ht="15.75" customHeight="1" x14ac:dyDescent="0.25">
      <c r="D1027" s="38"/>
    </row>
    <row r="1028" spans="4:4" ht="15.75" customHeight="1" x14ac:dyDescent="0.25">
      <c r="D1028" s="38"/>
    </row>
    <row r="1029" spans="4:4" ht="15.75" customHeight="1" x14ac:dyDescent="0.25">
      <c r="D1029" s="38"/>
    </row>
  </sheetData>
  <mergeCells count="39">
    <mergeCell ref="V38:V40"/>
    <mergeCell ref="A1:B1"/>
    <mergeCell ref="T37:U37"/>
    <mergeCell ref="A13:A18"/>
    <mergeCell ref="A19:A33"/>
    <mergeCell ref="E11:F11"/>
    <mergeCell ref="H11:I11"/>
    <mergeCell ref="A34:A43"/>
    <mergeCell ref="J11:L11"/>
    <mergeCell ref="P29:W29"/>
    <mergeCell ref="D9:L9"/>
    <mergeCell ref="A84:G84"/>
    <mergeCell ref="A85:G85"/>
    <mergeCell ref="A86:G86"/>
    <mergeCell ref="A73:G73"/>
    <mergeCell ref="A74:G74"/>
    <mergeCell ref="A75:G75"/>
    <mergeCell ref="A76:G76"/>
    <mergeCell ref="A79:G79"/>
    <mergeCell ref="A80:G80"/>
    <mergeCell ref="A81:G81"/>
    <mergeCell ref="A82:G82"/>
    <mergeCell ref="A83:G83"/>
    <mergeCell ref="A44:A48"/>
    <mergeCell ref="A49:A50"/>
    <mergeCell ref="A77:G77"/>
    <mergeCell ref="A78:G78"/>
    <mergeCell ref="A72:G72"/>
    <mergeCell ref="A68:G68"/>
    <mergeCell ref="A69:G69"/>
    <mergeCell ref="A70:G70"/>
    <mergeCell ref="A71:G71"/>
    <mergeCell ref="A67:G67"/>
    <mergeCell ref="A92:G92"/>
    <mergeCell ref="A87:G87"/>
    <mergeCell ref="A88:G88"/>
    <mergeCell ref="A89:G89"/>
    <mergeCell ref="A90:G90"/>
    <mergeCell ref="A91:G91"/>
  </mergeCells>
  <dataValidations count="3">
    <dataValidation type="list" allowBlank="1" showInputMessage="1" showErrorMessage="1" sqref="B10" xr:uid="{C111ED5C-6CBC-4A57-A952-6E2ECAAE3DB8}">
      <formula1>"Si,No"</formula1>
    </dataValidation>
    <dataValidation type="list" allowBlank="1" showInputMessage="1" showErrorMessage="1" sqref="B6" xr:uid="{A5345582-8A10-4268-B2AC-07FB97BB59EB}">
      <formula1>"Diestro,Diestra,Zurdo,Zurda,Ambidiestro,Ambidiestra,-"</formula1>
    </dataValidation>
    <dataValidation type="list" allowBlank="1" showInputMessage="1" showErrorMessage="1" sqref="C14:C15" xr:uid="{75641610-549F-4CC4-9E56-468CDC188BDB}">
      <formula1>"Si,No,Medio"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245" t="s">
        <v>38</v>
      </c>
      <c r="C9" s="246"/>
      <c r="D9" s="246"/>
      <c r="E9" s="247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251" t="s">
        <v>41</v>
      </c>
      <c r="C2" s="252"/>
      <c r="D2" s="252"/>
      <c r="E2" s="252"/>
      <c r="F2" s="252"/>
      <c r="G2" s="253"/>
    </row>
    <row r="3" spans="2:7" ht="15.75" customHeight="1" x14ac:dyDescent="0.25">
      <c r="B3" s="254" t="s">
        <v>42</v>
      </c>
      <c r="C3" s="255"/>
      <c r="D3" s="255"/>
      <c r="E3" s="255"/>
      <c r="F3" s="255"/>
      <c r="G3" s="256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257" t="s">
        <v>49</v>
      </c>
      <c r="C5" s="258"/>
      <c r="D5" s="259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249"/>
      <c r="C6" s="249"/>
      <c r="D6" s="249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248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249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248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249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248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250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260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260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261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261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249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249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262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262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261"/>
      <c r="B6" s="55">
        <v>97</v>
      </c>
      <c r="C6" s="55">
        <v>1.9</v>
      </c>
      <c r="D6" s="55">
        <v>69</v>
      </c>
      <c r="E6" s="55"/>
      <c r="F6" s="56"/>
      <c r="G6" s="261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261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261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261"/>
      <c r="B8" s="55">
        <v>95</v>
      </c>
      <c r="C8" s="55">
        <v>1.6</v>
      </c>
      <c r="D8" s="55">
        <v>66</v>
      </c>
      <c r="E8" s="55"/>
      <c r="F8" s="56"/>
      <c r="G8" s="261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261"/>
      <c r="B9" s="57">
        <v>93</v>
      </c>
      <c r="C9" s="57">
        <v>1.5</v>
      </c>
      <c r="D9" s="57">
        <v>65</v>
      </c>
      <c r="E9" s="57"/>
      <c r="F9" s="58"/>
      <c r="G9" s="261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261"/>
      <c r="B10" s="55">
        <v>92</v>
      </c>
      <c r="C10" s="55">
        <v>1.4</v>
      </c>
      <c r="D10" s="55">
        <v>64</v>
      </c>
      <c r="E10" s="55"/>
      <c r="F10" s="56"/>
      <c r="G10" s="261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261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261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261"/>
      <c r="B12" s="55">
        <v>88</v>
      </c>
      <c r="C12" s="55">
        <v>1.2</v>
      </c>
      <c r="D12" s="55">
        <v>62</v>
      </c>
      <c r="E12" s="55"/>
      <c r="F12" s="56"/>
      <c r="G12" s="261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249"/>
      <c r="B13" s="57">
        <v>86</v>
      </c>
      <c r="C13" s="57">
        <v>1.1000000000000001</v>
      </c>
      <c r="D13" s="57">
        <v>61</v>
      </c>
      <c r="E13" s="57"/>
      <c r="F13" s="58"/>
      <c r="G13" s="249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262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262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261"/>
      <c r="B15" s="55">
        <v>82</v>
      </c>
      <c r="C15" s="55">
        <v>0.9</v>
      </c>
      <c r="D15" s="55">
        <v>59</v>
      </c>
      <c r="E15" s="55"/>
      <c r="F15" s="56"/>
      <c r="G15" s="261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261"/>
      <c r="B16" s="57">
        <v>79</v>
      </c>
      <c r="C16" s="57">
        <v>0.8</v>
      </c>
      <c r="D16" s="57">
        <v>58</v>
      </c>
      <c r="E16" s="57"/>
      <c r="F16" s="58"/>
      <c r="G16" s="261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261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261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261"/>
      <c r="B18" s="57">
        <v>73</v>
      </c>
      <c r="C18" s="57">
        <v>0.6</v>
      </c>
      <c r="D18" s="57">
        <v>56</v>
      </c>
      <c r="E18" s="57"/>
      <c r="F18" s="58"/>
      <c r="G18" s="261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261"/>
      <c r="B19" s="55">
        <v>69</v>
      </c>
      <c r="C19" s="55">
        <v>0.5</v>
      </c>
      <c r="D19" s="55">
        <v>55</v>
      </c>
      <c r="E19" s="55"/>
      <c r="F19" s="56"/>
      <c r="G19" s="261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261"/>
      <c r="B20" s="57">
        <v>66</v>
      </c>
      <c r="C20" s="57">
        <v>0.4</v>
      </c>
      <c r="D20" s="57">
        <v>54</v>
      </c>
      <c r="E20" s="57"/>
      <c r="F20" s="58"/>
      <c r="G20" s="261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261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261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261"/>
      <c r="B22" s="57">
        <v>58</v>
      </c>
      <c r="C22" s="57">
        <v>0.2</v>
      </c>
      <c r="D22" s="57">
        <v>52</v>
      </c>
      <c r="E22" s="57"/>
      <c r="F22" s="58"/>
      <c r="G22" s="261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261"/>
      <c r="B23" s="55">
        <v>54</v>
      </c>
      <c r="C23" s="55">
        <v>0.1</v>
      </c>
      <c r="D23" s="55">
        <v>51</v>
      </c>
      <c r="E23" s="55"/>
      <c r="F23" s="56"/>
      <c r="G23" s="261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261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261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261"/>
      <c r="B25" s="55">
        <v>46</v>
      </c>
      <c r="C25" s="55">
        <v>-0.1</v>
      </c>
      <c r="D25" s="55">
        <v>49</v>
      </c>
      <c r="E25" s="55"/>
      <c r="F25" s="56"/>
      <c r="G25" s="261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261"/>
      <c r="B26" s="57">
        <v>42</v>
      </c>
      <c r="C26" s="57">
        <v>-0.2</v>
      </c>
      <c r="D26" s="57">
        <v>48</v>
      </c>
      <c r="E26" s="57"/>
      <c r="F26" s="58"/>
      <c r="G26" s="261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261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261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261"/>
      <c r="B28" s="57">
        <v>34</v>
      </c>
      <c r="C28" s="57">
        <v>-0.4</v>
      </c>
      <c r="D28" s="57">
        <v>46</v>
      </c>
      <c r="E28" s="57"/>
      <c r="F28" s="58"/>
      <c r="G28" s="261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261"/>
      <c r="B29" s="55">
        <v>31</v>
      </c>
      <c r="C29" s="55">
        <v>-0.5</v>
      </c>
      <c r="D29" s="55">
        <v>45</v>
      </c>
      <c r="E29" s="55"/>
      <c r="F29" s="56"/>
      <c r="G29" s="261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261"/>
      <c r="B30" s="57">
        <v>27</v>
      </c>
      <c r="C30" s="57">
        <v>-0.6</v>
      </c>
      <c r="D30" s="57">
        <v>44</v>
      </c>
      <c r="E30" s="57"/>
      <c r="F30" s="58"/>
      <c r="G30" s="261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261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261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261"/>
      <c r="B32" s="57">
        <v>21</v>
      </c>
      <c r="C32" s="57">
        <v>-0.8</v>
      </c>
      <c r="D32" s="57">
        <v>42</v>
      </c>
      <c r="E32" s="57"/>
      <c r="F32" s="58"/>
      <c r="G32" s="261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261"/>
      <c r="B33" s="55">
        <v>18</v>
      </c>
      <c r="C33" s="55">
        <v>-0.9</v>
      </c>
      <c r="D33" s="55">
        <v>43</v>
      </c>
      <c r="E33" s="55"/>
      <c r="F33" s="56"/>
      <c r="G33" s="261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249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249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262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262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261"/>
      <c r="B36" s="57">
        <v>12</v>
      </c>
      <c r="C36" s="57">
        <v>-1.2</v>
      </c>
      <c r="D36" s="57">
        <v>38</v>
      </c>
      <c r="E36" s="57"/>
      <c r="F36" s="58"/>
      <c r="G36" s="261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261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261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261"/>
      <c r="B38" s="57">
        <v>8</v>
      </c>
      <c r="C38" s="57">
        <v>-1.4</v>
      </c>
      <c r="D38" s="57">
        <v>36</v>
      </c>
      <c r="E38" s="57"/>
      <c r="F38" s="58"/>
      <c r="G38" s="261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261"/>
      <c r="B39" s="55">
        <v>7</v>
      </c>
      <c r="C39" s="55">
        <v>-1.5</v>
      </c>
      <c r="D39" s="55">
        <v>35</v>
      </c>
      <c r="E39" s="55"/>
      <c r="F39" s="56"/>
      <c r="G39" s="261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261"/>
      <c r="B40" s="57">
        <v>5</v>
      </c>
      <c r="C40" s="57">
        <v>-1.6</v>
      </c>
      <c r="D40" s="57">
        <v>34</v>
      </c>
      <c r="E40" s="57"/>
      <c r="F40" s="58"/>
      <c r="G40" s="261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261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261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261"/>
      <c r="B42" s="57">
        <v>4</v>
      </c>
      <c r="C42" s="57">
        <v>-1.8</v>
      </c>
      <c r="D42" s="57">
        <v>32</v>
      </c>
      <c r="E42" s="57"/>
      <c r="F42" s="58"/>
      <c r="G42" s="261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249"/>
      <c r="B43" s="55">
        <v>3</v>
      </c>
      <c r="C43" s="55">
        <v>-1.9</v>
      </c>
      <c r="D43" s="55">
        <v>31</v>
      </c>
      <c r="E43" s="55"/>
      <c r="F43" s="56"/>
      <c r="G43" s="249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262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262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261"/>
      <c r="B45" s="55">
        <v>2</v>
      </c>
      <c r="C45" s="55">
        <v>-2.1</v>
      </c>
      <c r="D45" s="55">
        <v>29</v>
      </c>
      <c r="E45" s="55"/>
      <c r="F45" s="56"/>
      <c r="G45" s="261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261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261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249"/>
      <c r="B47" s="55">
        <v>0.8</v>
      </c>
      <c r="C47" s="55">
        <v>-2.2999999999999998</v>
      </c>
      <c r="D47" s="55">
        <v>26</v>
      </c>
      <c r="E47" s="55"/>
      <c r="F47" s="56"/>
      <c r="G47" s="249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262" t="s">
        <v>90</v>
      </c>
      <c r="B48" s="57">
        <v>0.6</v>
      </c>
      <c r="C48" s="57">
        <v>-2.5</v>
      </c>
      <c r="D48" s="57">
        <v>25</v>
      </c>
      <c r="E48" s="57"/>
      <c r="F48" s="58"/>
      <c r="G48" s="262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261"/>
      <c r="B49" s="55">
        <v>0.5</v>
      </c>
      <c r="C49" s="55">
        <v>-2.6</v>
      </c>
      <c r="D49" s="55">
        <v>24</v>
      </c>
      <c r="E49" s="55"/>
      <c r="F49" s="56"/>
      <c r="G49" s="261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261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261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261"/>
      <c r="B51" s="55">
        <v>0.3</v>
      </c>
      <c r="C51" s="55">
        <v>-2.8</v>
      </c>
      <c r="D51" s="55">
        <v>22</v>
      </c>
      <c r="E51" s="55"/>
      <c r="F51" s="56"/>
      <c r="G51" s="261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249"/>
      <c r="B52" s="55">
        <v>0.2</v>
      </c>
      <c r="C52" s="55">
        <v>-2.9</v>
      </c>
      <c r="D52" s="55">
        <v>21</v>
      </c>
      <c r="E52" s="55"/>
      <c r="F52" s="56"/>
      <c r="G52" s="249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262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262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250"/>
      <c r="B54" s="61"/>
      <c r="C54" s="61" t="s">
        <v>92</v>
      </c>
      <c r="D54" s="61" t="s">
        <v>93</v>
      </c>
      <c r="E54" s="61"/>
      <c r="F54" s="62" t="s">
        <v>94</v>
      </c>
      <c r="G54" s="250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35:A43"/>
    <mergeCell ref="A44:A47"/>
    <mergeCell ref="A48:A52"/>
    <mergeCell ref="A53:A54"/>
    <mergeCell ref="G44:G47"/>
    <mergeCell ref="G48:G52"/>
    <mergeCell ref="G53:G54"/>
    <mergeCell ref="G35:G43"/>
    <mergeCell ref="A2:A4"/>
    <mergeCell ref="G2:G4"/>
    <mergeCell ref="A5:A13"/>
    <mergeCell ref="G5:G13"/>
    <mergeCell ref="A14:A34"/>
    <mergeCell ref="G14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269"/>
      <c r="B1" s="270"/>
      <c r="C1" s="271"/>
      <c r="D1" s="64"/>
      <c r="E1" s="272"/>
      <c r="F1" s="266"/>
      <c r="G1" s="268"/>
      <c r="H1" s="64"/>
      <c r="I1" s="272"/>
      <c r="J1" s="266"/>
      <c r="K1" s="268"/>
      <c r="L1" s="64"/>
      <c r="M1" s="272"/>
      <c r="N1" s="266"/>
      <c r="O1" s="268"/>
      <c r="P1" s="65"/>
      <c r="Q1" s="265"/>
      <c r="R1" s="266"/>
      <c r="S1" s="268"/>
      <c r="T1" s="64"/>
      <c r="U1" s="265"/>
      <c r="V1" s="266"/>
      <c r="W1" s="267"/>
      <c r="X1" s="64"/>
      <c r="Y1" s="265"/>
      <c r="Z1" s="266"/>
      <c r="AA1" s="268"/>
      <c r="AB1" s="64"/>
      <c r="AC1" s="265"/>
      <c r="AD1" s="266"/>
      <c r="AE1" s="267"/>
      <c r="AF1" s="64"/>
      <c r="AG1" s="265"/>
      <c r="AH1" s="266"/>
      <c r="AI1" s="267"/>
      <c r="AJ1" s="64"/>
      <c r="AK1" s="265"/>
      <c r="AL1" s="266"/>
      <c r="AM1" s="267"/>
      <c r="AN1" s="64"/>
      <c r="AO1" s="265"/>
      <c r="AP1" s="266"/>
      <c r="AQ1" s="267"/>
      <c r="AR1" s="64"/>
      <c r="AS1" s="265"/>
      <c r="AT1" s="266"/>
      <c r="AU1" s="268"/>
      <c r="AV1" s="64"/>
      <c r="AW1" s="19"/>
      <c r="AX1" s="263"/>
      <c r="AY1" s="264"/>
      <c r="AZ1" s="263"/>
      <c r="BA1" s="264"/>
      <c r="BB1" s="263"/>
      <c r="BC1" s="264"/>
      <c r="BD1" s="19"/>
      <c r="BE1" s="19"/>
      <c r="BF1" s="263"/>
      <c r="BG1" s="264"/>
      <c r="BH1" s="263"/>
      <c r="BI1" s="264"/>
      <c r="BJ1" s="263"/>
      <c r="BK1" s="264"/>
    </row>
    <row r="2" spans="1:63" ht="15.75" customHeight="1" x14ac:dyDescent="0.25">
      <c r="A2" s="269" t="s">
        <v>13</v>
      </c>
      <c r="B2" s="270"/>
      <c r="C2" s="271"/>
      <c r="D2" s="64"/>
      <c r="E2" s="272" t="s">
        <v>14</v>
      </c>
      <c r="F2" s="266"/>
      <c r="G2" s="268"/>
      <c r="H2" s="64"/>
      <c r="I2" s="272" t="s">
        <v>95</v>
      </c>
      <c r="J2" s="266"/>
      <c r="K2" s="268"/>
      <c r="L2" s="64"/>
      <c r="M2" s="272" t="s">
        <v>96</v>
      </c>
      <c r="N2" s="266"/>
      <c r="O2" s="268"/>
      <c r="P2" s="65"/>
      <c r="Q2" s="265" t="s">
        <v>97</v>
      </c>
      <c r="R2" s="266"/>
      <c r="S2" s="268"/>
      <c r="T2" s="64"/>
      <c r="U2" s="265" t="s">
        <v>98</v>
      </c>
      <c r="V2" s="266"/>
      <c r="W2" s="267"/>
      <c r="X2" s="64"/>
      <c r="Y2" s="265" t="s">
        <v>99</v>
      </c>
      <c r="Z2" s="266"/>
      <c r="AA2" s="268"/>
      <c r="AB2" s="64"/>
      <c r="AC2" s="265" t="s">
        <v>100</v>
      </c>
      <c r="AD2" s="266"/>
      <c r="AE2" s="267"/>
      <c r="AF2" s="64"/>
      <c r="AG2" s="265" t="s">
        <v>101</v>
      </c>
      <c r="AH2" s="266"/>
      <c r="AI2" s="267"/>
      <c r="AJ2" s="64"/>
      <c r="AK2" s="265" t="s">
        <v>102</v>
      </c>
      <c r="AL2" s="266"/>
      <c r="AM2" s="267"/>
      <c r="AN2" s="64"/>
      <c r="AO2" s="265" t="s">
        <v>103</v>
      </c>
      <c r="AP2" s="266"/>
      <c r="AQ2" s="267"/>
      <c r="AR2" s="64"/>
      <c r="AS2" s="265" t="s">
        <v>104</v>
      </c>
      <c r="AT2" s="266"/>
      <c r="AU2" s="268"/>
      <c r="AV2" s="19"/>
      <c r="AW2" s="19"/>
      <c r="AX2" s="263"/>
      <c r="AY2" s="264"/>
      <c r="AZ2" s="263"/>
      <c r="BA2" s="264"/>
      <c r="BB2" s="263"/>
      <c r="BC2" s="264"/>
      <c r="BD2" s="19"/>
      <c r="BE2" s="19"/>
      <c r="BF2" s="263"/>
      <c r="BG2" s="264"/>
      <c r="BH2" s="263"/>
      <c r="BI2" s="264"/>
      <c r="BJ2" s="263"/>
      <c r="BK2" s="264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AZ2:BA2"/>
    <mergeCell ref="BB2:BC2"/>
    <mergeCell ref="BF2:BG2"/>
    <mergeCell ref="BH2:BI2"/>
    <mergeCell ref="BJ2:BK2"/>
    <mergeCell ref="AX2:AY2"/>
    <mergeCell ref="AC2:AE2"/>
    <mergeCell ref="AG2:AI2"/>
    <mergeCell ref="AK2:AM2"/>
    <mergeCell ref="AO2:AQ2"/>
    <mergeCell ref="AS2:AU2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273" t="s">
        <v>107</v>
      </c>
      <c r="B1" s="264"/>
      <c r="C1" s="264"/>
      <c r="D1" s="264"/>
      <c r="F1" s="265" t="s">
        <v>108</v>
      </c>
      <c r="G1" s="266"/>
      <c r="H1" s="266"/>
      <c r="I1" s="268"/>
      <c r="J1" s="64"/>
      <c r="K1" s="265" t="s">
        <v>109</v>
      </c>
      <c r="L1" s="266"/>
      <c r="M1" s="266"/>
      <c r="N1" s="268"/>
      <c r="O1" s="64"/>
      <c r="P1" s="265" t="s">
        <v>110</v>
      </c>
      <c r="Q1" s="266"/>
      <c r="R1" s="266"/>
      <c r="S1" s="268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274" t="s">
        <v>0</v>
      </c>
      <c r="C2" s="271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275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276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276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276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277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275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276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276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276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276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276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277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278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276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277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2026-09-17T19:00:44Z</dcterms:modified>
</cp:coreProperties>
</file>